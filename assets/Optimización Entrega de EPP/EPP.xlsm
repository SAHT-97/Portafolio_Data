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ergi\Documents\Dev_\Visual Studio Code\Portafolio\assets\Optimización Entrega de EPP\"/>
    </mc:Choice>
  </mc:AlternateContent>
  <xr:revisionPtr revIDLastSave="0" documentId="13_ncr:1_{33C26ECC-1172-41DE-8946-AE7530CC8385}" xr6:coauthVersionLast="47" xr6:coauthVersionMax="47" xr10:uidLastSave="{00000000-0000-0000-0000-000000000000}"/>
  <bookViews>
    <workbookView xWindow="-110" yWindow="-110" windowWidth="19420" windowHeight="10300" tabRatio="620" xr2:uid="{00000000-000D-0000-FFFF-FFFF00000000}"/>
  </bookViews>
  <sheets>
    <sheet name="DashBoard" sheetId="37" r:id="rId1"/>
    <sheet name="Registro" sheetId="29" r:id="rId2"/>
    <sheet name="Maestro" sheetId="33" r:id="rId3"/>
    <sheet name="EPP" sheetId="36" r:id="rId4"/>
    <sheet name="Analisis" sheetId="35" r:id="rId5"/>
  </sheets>
  <definedNames>
    <definedName name="_xlnm._FilterDatabase" localSheetId="1" hidden="1">Registro!$B$17:$Q$35</definedName>
    <definedName name="_xlcn.WorksheetConnection_ProyectoEPPRecuperado.xlsmOtros" hidden="1">Otros[]</definedName>
    <definedName name="_xlcn.WorksheetConnection_ProyectoEPPRecuperado.xlsmZapatos" hidden="1">Zapatos[]</definedName>
    <definedName name="_xlnm.Print_Area" localSheetId="1">Registro!$B$16:$J$35</definedName>
    <definedName name="maestro">#REF!</definedName>
    <definedName name="SegmentaciónDeDatos_Entrgado">#N/A</definedName>
    <definedName name="SegmentaciónDeDatos_Nombre_del_Trabajador1">#N/A</definedName>
    <definedName name="SegmentaciónDeDatos_Producto1">#N/A</definedName>
    <definedName name="SegmentaciónDeDatos_Turno1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Zapatos" name="Zapatos" connection="WorksheetConnection_Proyecto EPP (Recuperado).xlsm!Zapatos"/>
          <x15:modelTable id="Otros" name="Otros" connection="WorksheetConnection_Proyecto EPP (Recuperado).xlsm!Otr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9" l="1"/>
  <c r="D11" i="29"/>
  <c r="C11" i="29"/>
  <c r="A11" i="29"/>
  <c r="I16" i="29"/>
  <c r="C34" i="35"/>
  <c r="B34" i="35"/>
  <c r="C36" i="35"/>
  <c r="B9" i="35"/>
  <c r="B18" i="35"/>
  <c r="B36" i="35"/>
  <c r="B233" i="36" l="1"/>
  <c r="B231" i="36"/>
  <c r="B229" i="36"/>
  <c r="B227" i="36"/>
  <c r="B225" i="36"/>
  <c r="B212" i="36"/>
  <c r="B198" i="36"/>
  <c r="B186" i="36"/>
  <c r="B184" i="36"/>
  <c r="B175" i="36"/>
  <c r="B168" i="36"/>
  <c r="J11" i="29" s="1"/>
  <c r="K11" i="29" s="1"/>
  <c r="B166" i="36"/>
  <c r="B159" i="36"/>
  <c r="B152" i="36"/>
  <c r="B145" i="36"/>
  <c r="B132" i="36"/>
  <c r="B118" i="36"/>
  <c r="B105" i="36"/>
  <c r="B92" i="36"/>
  <c r="B79" i="36"/>
  <c r="B72" i="36"/>
  <c r="B65" i="36"/>
  <c r="B58" i="36"/>
  <c r="B51" i="36"/>
  <c r="B44" i="36"/>
  <c r="B37" i="36"/>
  <c r="B30" i="36"/>
  <c r="B23" i="36"/>
  <c r="B16" i="36"/>
  <c r="B9" i="36"/>
  <c r="B2" i="36"/>
  <c r="K16" i="2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royecto EPP (Recuperado).xlsm!Otros" type="102" refreshedVersion="8" minRefreshableVersion="5">
    <extLst>
      <ext xmlns:x15="http://schemas.microsoft.com/office/spreadsheetml/2010/11/main" uri="{DE250136-89BD-433C-8126-D09CA5730AF9}">
        <x15:connection id="Otros">
          <x15:rangePr sourceName="_xlcn.WorksheetConnection_ProyectoEPPRecuperado.xlsmOtros"/>
        </x15:connection>
      </ext>
    </extLst>
  </connection>
  <connection id="3" xr16:uid="{00000000-0015-0000-FFFF-FFFF02000000}" name="WorksheetConnection_Proyecto EPP (Recuperado).xlsm!Zapatos" type="102" refreshedVersion="8" minRefreshableVersion="5">
    <extLst>
      <ext xmlns:x15="http://schemas.microsoft.com/office/spreadsheetml/2010/11/main" uri="{DE250136-89BD-433C-8126-D09CA5730AF9}">
        <x15:connection id="Zapatos">
          <x15:rangePr sourceName="_xlcn.WorksheetConnection_ProyectoEPPRecuperado.xlsmZapatos"/>
        </x15:connection>
      </ext>
    </extLst>
  </connection>
</connections>
</file>

<file path=xl/sharedStrings.xml><?xml version="1.0" encoding="utf-8"?>
<sst xmlns="http://schemas.openxmlformats.org/spreadsheetml/2006/main" count="826" uniqueCount="204">
  <si>
    <t>MANTENCION</t>
  </si>
  <si>
    <t>ADMINISTRACION</t>
  </si>
  <si>
    <t>Recepcionista</t>
  </si>
  <si>
    <t>Secador</t>
  </si>
  <si>
    <t>Frigorista</t>
  </si>
  <si>
    <t>RR.HH</t>
  </si>
  <si>
    <t>Indefinido</t>
  </si>
  <si>
    <t>Genero</t>
  </si>
  <si>
    <t>M</t>
  </si>
  <si>
    <t>F</t>
  </si>
  <si>
    <t>Maintenance</t>
  </si>
  <si>
    <t>Quality</t>
  </si>
  <si>
    <t>N° centro costos</t>
  </si>
  <si>
    <t>Nombre Centro de Costo</t>
  </si>
  <si>
    <t>Tipo de Contrato</t>
  </si>
  <si>
    <t>Operador de Caldera</t>
  </si>
  <si>
    <t>No Aplica</t>
  </si>
  <si>
    <t>Ayudante de Produccion</t>
  </si>
  <si>
    <t>PRODUCCION SDC</t>
  </si>
  <si>
    <t>Envasado      SDC</t>
  </si>
  <si>
    <t>Corte y Selección</t>
  </si>
  <si>
    <t>Operador de Maquinaria Industrial</t>
  </si>
  <si>
    <t>RECEPCION Y ALMACENAMIENTO</t>
  </si>
  <si>
    <t>Operador de Grua</t>
  </si>
  <si>
    <t>Extracción Infusión</t>
  </si>
  <si>
    <t>MF / Osmosis</t>
  </si>
  <si>
    <t>Packaging Resources</t>
  </si>
  <si>
    <t>CONTROL DE CALIDAD</t>
  </si>
  <si>
    <t>Analista de Laboratorio</t>
  </si>
  <si>
    <t>Jefe de Contabilidad</t>
  </si>
  <si>
    <t>Team Leader</t>
  </si>
  <si>
    <t>Form. Jarabe</t>
  </si>
  <si>
    <t>Inspección en línea</t>
  </si>
  <si>
    <t>WareHouse Lead</t>
  </si>
  <si>
    <t>Gruas</t>
  </si>
  <si>
    <t>Supply Chain</t>
  </si>
  <si>
    <t>Encargado de Linea de Proceso</t>
  </si>
  <si>
    <t>Asistente de Recursos Humanos</t>
  </si>
  <si>
    <t>Encargado de Recepcion y Despacho</t>
  </si>
  <si>
    <t>Technical Change Management Administrator</t>
  </si>
  <si>
    <t>Operario de Envasado</t>
  </si>
  <si>
    <t>B</t>
  </si>
  <si>
    <t>Finance</t>
  </si>
  <si>
    <t>SLT</t>
  </si>
  <si>
    <t>SDC Line</t>
  </si>
  <si>
    <t>MF / RO</t>
  </si>
  <si>
    <t>Cutting &amp; Sorting</t>
  </si>
  <si>
    <t>CCE / CCI</t>
  </si>
  <si>
    <t>Cold Op</t>
  </si>
  <si>
    <t>Forklift Op</t>
  </si>
  <si>
    <t>Human Resources</t>
  </si>
  <si>
    <t>Dryer</t>
  </si>
  <si>
    <t>Syrup</t>
  </si>
  <si>
    <t>Boiler Op</t>
  </si>
  <si>
    <t>Operador de Frio</t>
  </si>
  <si>
    <t>SUPPLY CHAIN</t>
  </si>
  <si>
    <t>Cargo</t>
  </si>
  <si>
    <t>Cost Center</t>
  </si>
  <si>
    <t>Area</t>
  </si>
  <si>
    <t>Especialidad</t>
  </si>
  <si>
    <t>Turno</t>
  </si>
  <si>
    <t>Cantidad</t>
  </si>
  <si>
    <t>L</t>
  </si>
  <si>
    <t>S</t>
  </si>
  <si>
    <t>Gerente Administracion y Finanzas</t>
  </si>
  <si>
    <t>Instrumentista</t>
  </si>
  <si>
    <t>Gerente de Mantencion</t>
  </si>
  <si>
    <t>Ayudante General</t>
  </si>
  <si>
    <t>FINANZAS</t>
  </si>
  <si>
    <t>Contabilidad</t>
  </si>
  <si>
    <t>PRODUCCCION SDC</t>
  </si>
  <si>
    <t>Producto</t>
  </si>
  <si>
    <t xml:space="preserve">Turno </t>
  </si>
  <si>
    <t>Rut</t>
  </si>
  <si>
    <t>Nombre</t>
  </si>
  <si>
    <t>Nombre del Trabajador</t>
  </si>
  <si>
    <t>Nombre del trabajador</t>
  </si>
  <si>
    <t>Talla</t>
  </si>
  <si>
    <t>Zapatos</t>
  </si>
  <si>
    <t>Valor</t>
  </si>
  <si>
    <t>XL</t>
  </si>
  <si>
    <t>2XL</t>
  </si>
  <si>
    <t xml:space="preserve">Obsevaciones </t>
  </si>
  <si>
    <t>Pasamontañas</t>
  </si>
  <si>
    <t>Balaclava</t>
  </si>
  <si>
    <t>NO</t>
  </si>
  <si>
    <t>SI</t>
  </si>
  <si>
    <t>Suma de Cantidad</t>
  </si>
  <si>
    <t>Etiquetas de fila</t>
  </si>
  <si>
    <t>Total general</t>
  </si>
  <si>
    <t>Delantal</t>
  </si>
  <si>
    <t>Slack</t>
  </si>
  <si>
    <t>Poleras</t>
  </si>
  <si>
    <t>Botas</t>
  </si>
  <si>
    <t>NorsegVaron</t>
  </si>
  <si>
    <t>Camara</t>
  </si>
  <si>
    <t>Edekbrook</t>
  </si>
  <si>
    <t>Highway</t>
  </si>
  <si>
    <t>Alaska</t>
  </si>
  <si>
    <t>Termicos</t>
  </si>
  <si>
    <t>Guantes</t>
  </si>
  <si>
    <t>Overol</t>
  </si>
  <si>
    <t>Camisa</t>
  </si>
  <si>
    <t xml:space="preserve">Pantalon </t>
  </si>
  <si>
    <t>Otros</t>
  </si>
  <si>
    <t>3XL</t>
  </si>
  <si>
    <t>Ref</t>
  </si>
  <si>
    <t>d_Azul</t>
  </si>
  <si>
    <t>d_Blanco</t>
  </si>
  <si>
    <t>d_Verde</t>
  </si>
  <si>
    <t xml:space="preserve">d_Verde </t>
  </si>
  <si>
    <t>s_Gris</t>
  </si>
  <si>
    <t>s_Verde</t>
  </si>
  <si>
    <t>s_Blanco</t>
  </si>
  <si>
    <t>s_Pantalon Slack Blanco</t>
  </si>
  <si>
    <t>s_PantalonSlackBlanco</t>
  </si>
  <si>
    <t>Modelo</t>
  </si>
  <si>
    <t>NorsegDama</t>
  </si>
  <si>
    <t>p_Azul</t>
  </si>
  <si>
    <t>p_Blanco</t>
  </si>
  <si>
    <t>p_Gris</t>
  </si>
  <si>
    <t>p_Verde</t>
  </si>
  <si>
    <t xml:space="preserve">  </t>
  </si>
  <si>
    <t>PanamaJack</t>
  </si>
  <si>
    <t>Unica</t>
  </si>
  <si>
    <t>b_Blancas</t>
  </si>
  <si>
    <t>b_Verde</t>
  </si>
  <si>
    <t>b_VerdeBlanco</t>
  </si>
  <si>
    <t>PrimeraCapa</t>
  </si>
  <si>
    <t>Edelbrook</t>
  </si>
  <si>
    <t>Modelo-Color-EPP</t>
  </si>
  <si>
    <t>AntiparraAntiempañante</t>
  </si>
  <si>
    <t>ChalecoReflectante</t>
  </si>
  <si>
    <t>Parka</t>
  </si>
  <si>
    <t>RopaAgua</t>
  </si>
  <si>
    <t>Cant.</t>
  </si>
  <si>
    <t>(Todas)</t>
  </si>
  <si>
    <t>Costo Unitario</t>
  </si>
  <si>
    <t>Costo Total</t>
  </si>
  <si>
    <t>Entrgado</t>
  </si>
  <si>
    <t>Suma de Costo Total</t>
  </si>
  <si>
    <t>A</t>
  </si>
  <si>
    <t>C</t>
  </si>
  <si>
    <t>D</t>
  </si>
  <si>
    <t xml:space="preserve">Suma de Previo Unidad </t>
  </si>
  <si>
    <t>Precio</t>
  </si>
  <si>
    <t>Total</t>
  </si>
  <si>
    <t xml:space="preserve">Observaciones </t>
  </si>
  <si>
    <t>Entregado</t>
  </si>
  <si>
    <t>Departamento</t>
  </si>
  <si>
    <t>12.345.678-5</t>
  </si>
  <si>
    <t>Columna1</t>
  </si>
  <si>
    <t>98.765.432-1</t>
  </si>
  <si>
    <t>14.256.789-3</t>
  </si>
  <si>
    <t>21.478.965-0</t>
  </si>
  <si>
    <t>33.569.874-2</t>
  </si>
  <si>
    <t>45.678.321-7</t>
  </si>
  <si>
    <t>56.987.214-9</t>
  </si>
  <si>
    <t>67.894.123-6</t>
  </si>
  <si>
    <t>78.123.456-4</t>
  </si>
  <si>
    <t>89.654.321-8</t>
  </si>
  <si>
    <t>23.456.789-5</t>
  </si>
  <si>
    <t>34.567.890-1</t>
  </si>
  <si>
    <t>45.678.901-7</t>
  </si>
  <si>
    <t>56.789.012-3</t>
  </si>
  <si>
    <t>67.890.123-9</t>
  </si>
  <si>
    <t>78.901.234-5</t>
  </si>
  <si>
    <t>89.012.345-0</t>
  </si>
  <si>
    <t>90.123.456-8</t>
  </si>
  <si>
    <t>12.234.567-4</t>
  </si>
  <si>
    <t>23.345.678-2</t>
  </si>
  <si>
    <t>34.456.789-6</t>
  </si>
  <si>
    <t>45.567.890-9</t>
  </si>
  <si>
    <t>56.678.901-1</t>
  </si>
  <si>
    <t>67.789.012-5</t>
  </si>
  <si>
    <t>78.890.123-3</t>
  </si>
  <si>
    <t>Pérez González, Juan Andrés</t>
  </si>
  <si>
    <t>Soto Ramírez, María Fernanda</t>
  </si>
  <si>
    <t>Fernández López, Carlos Eduardo</t>
  </si>
  <si>
    <t>Ramírez Díaz, Ana Sofía</t>
  </si>
  <si>
    <t>Herrera Muñoz, Pedro Alejandro</t>
  </si>
  <si>
    <t>Castro Morales, Laura Isabel</t>
  </si>
  <si>
    <t>Rojas Vargas, Diego Matías</t>
  </si>
  <si>
    <t>Gutiérrez Torres, Valentina Camila</t>
  </si>
  <si>
    <t>Molina Silva, Joaquín Ignacio</t>
  </si>
  <si>
    <t>Flores Carrasco, Catalina Antonia</t>
  </si>
  <si>
    <t>Jiménez Paredes, Francisco Javier</t>
  </si>
  <si>
    <t>Cabrera Peña, Martina Belén</t>
  </si>
  <si>
    <t>Navarro Espinoza, Tomás Emiliano</t>
  </si>
  <si>
    <t>Vega Figueroa, Daniela Alejandra</t>
  </si>
  <si>
    <t>Ortega Guzmán, Sebastián Alonso</t>
  </si>
  <si>
    <t>Fuentes Riquelme, Emilia Josefa</t>
  </si>
  <si>
    <t>Reyes Alarcón, Nicolás Adrián</t>
  </si>
  <si>
    <t>Méndez Valenzuela, Antonia Carolina</t>
  </si>
  <si>
    <t>Campos Salazar, Felipe Esteban</t>
  </si>
  <si>
    <t>Pizarro Venegas, Javiera Lucía</t>
  </si>
  <si>
    <t>Araya Orellana, Benjamín Gabriel</t>
  </si>
  <si>
    <t>Gallardo Saavedra, Constanza Soledad</t>
  </si>
  <si>
    <t>Tapia Ibarra, Maximiliano Andrés</t>
  </si>
  <si>
    <t>Miranda Godoy, Fernanda Paz</t>
  </si>
  <si>
    <t>Álvarez Bustamante, Vicente Samuel</t>
  </si>
  <si>
    <t>Prueba</t>
  </si>
  <si>
    <t>Ignifugos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</si>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</sst>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4" formatCode="_ [$$-340A]* #,##0_ ;_ [$$-340A]* \-#,##0_ ;_ [$$-340A]* &quot;-&quot;??_ ;_ @_ "/>
    <numFmt numFmtId="165" formatCode="_-* #,##0\ _€_-;\-* #,##0\ _€_-;_-* &quot;-&quot;??\ _€_-;_-@_-"/>
    <numFmt numFmtId="166" formatCode="_ [$$-340A]* #,##0_ ;_ [$$-340A]* \-#,##0_ ;_ [$$-340A]* &quot;-&quot;_ ;_ @_ "/>
  </numFmts>
  <fonts count="1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name val="Arial"/>
    </font>
    <font>
      <sz val="10"/>
      <color theme="0"/>
      <name val="Arial"/>
      <family val="2"/>
    </font>
    <font>
      <b/>
      <sz val="10"/>
      <color theme="3"/>
      <name val="Arial"/>
      <family val="2"/>
    </font>
    <font>
      <b/>
      <sz val="14"/>
      <color theme="4"/>
      <name val="Arial"/>
      <family val="2"/>
    </font>
    <font>
      <b/>
      <sz val="12"/>
      <color theme="3"/>
      <name val="Arial"/>
      <family val="2"/>
    </font>
    <font>
      <sz val="10"/>
      <color rgb="FF0070C0"/>
      <name val="Arial"/>
      <family val="2"/>
    </font>
    <font>
      <b/>
      <sz val="14"/>
      <color theme="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2" fontId="5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left"/>
    </xf>
    <xf numFmtId="0" fontId="2" fillId="0" borderId="6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2" fontId="10" fillId="0" borderId="5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pivotButton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2" fontId="0" fillId="0" borderId="0" xfId="2" applyFont="1"/>
    <xf numFmtId="42" fontId="0" fillId="0" borderId="0" xfId="2" applyFont="1" applyAlignment="1">
      <alignment vertical="center" wrapText="1"/>
    </xf>
    <xf numFmtId="42" fontId="1" fillId="0" borderId="0" xfId="2" applyFont="1"/>
    <xf numFmtId="0" fontId="1" fillId="0" borderId="0" xfId="0" applyFont="1" applyAlignment="1">
      <alignment vertical="center" wrapText="1"/>
    </xf>
    <xf numFmtId="42" fontId="0" fillId="0" borderId="0" xfId="0" applyNumberFormat="1"/>
    <xf numFmtId="42" fontId="0" fillId="0" borderId="0" xfId="2" applyFont="1" applyAlignment="1">
      <alignment horizontal="center"/>
    </xf>
    <xf numFmtId="42" fontId="2" fillId="0" borderId="0" xfId="2" applyFont="1" applyAlignment="1">
      <alignment horizontal="center"/>
    </xf>
    <xf numFmtId="42" fontId="0" fillId="0" borderId="0" xfId="2" applyFont="1" applyAlignment="1">
      <alignment horizontal="right"/>
    </xf>
    <xf numFmtId="42" fontId="0" fillId="0" borderId="0" xfId="2" applyFont="1" applyAlignment="1">
      <alignment horizontal="right" vertical="center" wrapText="1"/>
    </xf>
    <xf numFmtId="42" fontId="2" fillId="0" borderId="0" xfId="2" applyFont="1" applyAlignment="1">
      <alignment horizontal="right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left" indent="1"/>
    </xf>
    <xf numFmtId="42" fontId="0" fillId="0" borderId="0" xfId="0" pivotButton="1" applyNumberFormat="1"/>
    <xf numFmtId="42" fontId="0" fillId="0" borderId="0" xfId="0" applyNumberFormat="1" applyAlignment="1">
      <alignment horizontal="left"/>
    </xf>
    <xf numFmtId="42" fontId="0" fillId="0" borderId="0" xfId="0" applyNumberFormat="1" applyAlignment="1">
      <alignment horizontal="left" indent="1"/>
    </xf>
    <xf numFmtId="165" fontId="0" fillId="0" borderId="0" xfId="0" applyNumberFormat="1"/>
    <xf numFmtId="0" fontId="1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9" fontId="0" fillId="0" borderId="0" xfId="1" applyFont="1" applyAlignment="1">
      <alignment horizontal="center"/>
    </xf>
    <xf numFmtId="0" fontId="4" fillId="4" borderId="8" xfId="0" applyFont="1" applyFill="1" applyBorder="1"/>
    <xf numFmtId="0" fontId="6" fillId="3" borderId="0" xfId="0" applyFont="1" applyFill="1"/>
    <xf numFmtId="0" fontId="6" fillId="3" borderId="0" xfId="0" applyFont="1" applyFill="1" applyAlignment="1">
      <alignment wrapText="1"/>
    </xf>
    <xf numFmtId="0" fontId="6" fillId="3" borderId="0" xfId="0" applyFont="1" applyFill="1" applyProtection="1">
      <protection locked="0"/>
    </xf>
    <xf numFmtId="0" fontId="3" fillId="0" borderId="0" xfId="0" applyFont="1"/>
    <xf numFmtId="166" fontId="2" fillId="0" borderId="0" xfId="0" applyNumberFormat="1" applyFont="1"/>
    <xf numFmtId="2" fontId="7" fillId="0" borderId="0" xfId="0" applyNumberFormat="1" applyFont="1"/>
    <xf numFmtId="0" fontId="3" fillId="2" borderId="7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wrapText="1"/>
    </xf>
    <xf numFmtId="0" fontId="11" fillId="2" borderId="2" xfId="0" applyFont="1" applyFill="1" applyBorder="1" applyAlignment="1">
      <alignment horizontal="center" wrapText="1"/>
    </xf>
    <xf numFmtId="0" fontId="11" fillId="2" borderId="3" xfId="0" applyFont="1" applyFill="1" applyBorder="1" applyAlignment="1">
      <alignment horizontal="center" wrapText="1"/>
    </xf>
    <xf numFmtId="0" fontId="8" fillId="3" borderId="0" xfId="0" applyFont="1" applyFill="1" applyAlignment="1">
      <alignment vertical="center"/>
    </xf>
    <xf numFmtId="0" fontId="8" fillId="3" borderId="4" xfId="0" applyFont="1" applyFill="1" applyBorder="1" applyAlignment="1">
      <alignment vertical="center"/>
    </xf>
    <xf numFmtId="0" fontId="3" fillId="2" borderId="0" xfId="0" applyFont="1" applyFill="1"/>
    <xf numFmtId="42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" fontId="13" fillId="0" borderId="0" xfId="0" applyNumberFormat="1" applyFont="1" applyProtection="1">
      <protection locked="0"/>
    </xf>
    <xf numFmtId="42" fontId="13" fillId="0" borderId="0" xfId="0" applyNumberFormat="1" applyFont="1" applyProtection="1">
      <protection locked="0"/>
    </xf>
    <xf numFmtId="42" fontId="8" fillId="3" borderId="0" xfId="2" applyFont="1" applyFill="1" applyAlignment="1">
      <alignment vertical="center"/>
    </xf>
    <xf numFmtId="42" fontId="8" fillId="3" borderId="4" xfId="2" applyFont="1" applyFill="1" applyBorder="1" applyAlignment="1">
      <alignment vertical="center"/>
    </xf>
    <xf numFmtId="42" fontId="11" fillId="2" borderId="2" xfId="2" applyFont="1" applyFill="1" applyBorder="1" applyAlignment="1">
      <alignment horizontal="center" wrapText="1"/>
    </xf>
    <xf numFmtId="42" fontId="11" fillId="2" borderId="3" xfId="2" applyFont="1" applyFill="1" applyBorder="1" applyAlignment="1">
      <alignment horizontal="center" wrapText="1"/>
    </xf>
    <xf numFmtId="42" fontId="6" fillId="2" borderId="5" xfId="2" applyFont="1" applyFill="1" applyBorder="1" applyAlignment="1">
      <alignment vertical="center"/>
    </xf>
    <xf numFmtId="42" fontId="7" fillId="0" borderId="0" xfId="2" applyFont="1" applyAlignment="1">
      <alignment horizontal="center"/>
    </xf>
    <xf numFmtId="42" fontId="2" fillId="0" borderId="0" xfId="2" applyFont="1" applyAlignment="1" applyProtection="1">
      <alignment horizontal="center" vertical="center" wrapText="1"/>
      <protection locked="0"/>
    </xf>
    <xf numFmtId="42" fontId="0" fillId="0" borderId="0" xfId="2" applyFont="1" applyProtection="1"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0" fillId="0" borderId="0" xfId="0" applyAlignment="1">
      <alignment horizontal="center"/>
    </xf>
  </cellXfs>
  <cellStyles count="3">
    <cellStyle name="Moneda [0]" xfId="2" builtinId="7"/>
    <cellStyle name="Normal" xfId="0" builtinId="0"/>
    <cellStyle name="Porcentaje" xfId="1" builtinId="5"/>
  </cellStyles>
  <dxfs count="332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alignment horizontal="center" readingOrder="0"/>
    </dxf>
    <dxf>
      <alignment horizontal="center" readingOrder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general" indent="0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/>
      </font>
    </dxf>
    <dxf>
      <font>
        <b/>
      </font>
    </dxf>
    <dxf>
      <font>
        <sz val="12"/>
      </font>
    </dxf>
    <dxf>
      <font>
        <sz val="11"/>
      </font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fill>
        <patternFill patternType="solid">
          <bgColor rgb="FFA3B7B9"/>
        </patternFill>
      </fill>
    </dxf>
    <dxf>
      <alignment horizontal="center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font>
        <u val="none"/>
      </font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65" formatCode="_-* #,##0\ _€_-;\-* #,##0\ _€_-;_-* &quot;-&quot;??\ _€_-;_-@_-"/>
    </dxf>
    <dxf>
      <numFmt numFmtId="172" formatCode="_-* #,##0.0\ _€_-;\-* #,##0.0\ _€_-;_-* &quot;-&quot;??\ _€_-;_-@_-"/>
    </dxf>
    <dxf>
      <numFmt numFmtId="169" formatCode="_-* #,##0.00\ _€_-;\-* #,##0.00\ _€_-;_-* &quot;-&quot;??\ _€_-;_-@_-"/>
    </dxf>
    <dxf>
      <numFmt numFmtId="170" formatCode="_-* #,##0.000\ _€_-;\-* #,##0.000\ _€_-;_-* &quot;-&quot;??\ _€_-;_-@_-"/>
    </dxf>
    <dxf>
      <numFmt numFmtId="171" formatCode="_-* #,##0.0000\ _€_-;\-* #,##0.0000\ _€_-;_-* &quot;-&quot;??\ _€_-;_-@_-"/>
    </dxf>
    <dxf>
      <numFmt numFmtId="170" formatCode="_-* #,##0.000\ _€_-;\-* #,##0.000\ _€_-;_-* &quot;-&quot;??\ _€_-;_-@_-"/>
    </dxf>
    <dxf>
      <numFmt numFmtId="169" formatCode="_-* #,##0.00\ _€_-;\-* #,##0.00\ _€_-;_-* &quot;-&quot;??\ _€_-;_-@_-"/>
    </dxf>
    <dxf>
      <numFmt numFmtId="169" formatCode="_-* #,##0.00\ _€_-;\-* #,##0.00\ _€_-;_-* &quot;-&quot;??\ _€_-;_-@_-"/>
    </dxf>
    <dxf>
      <numFmt numFmtId="168" formatCode="_ [$$-340A]* #,##0.00_ ;_ [$$-340A]* \-#,##0.00_ ;_ [$$-340A]* &quot;-&quot;??_ ;_ @_ "/>
    </dxf>
    <dxf>
      <numFmt numFmtId="167" formatCode="_-* #,##0.00\ &quot;€&quot;_-;\-* #,##0.00\ &quot;€&quot;_-;_-* &quot;-&quot;??\ &quot;€&quot;_-;_-@_-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65" formatCode="_-* #,##0\ _€_-;\-* #,##0\ _€_-;_-* &quot;-&quot;??\ _€_-;_-@_-"/>
    </dxf>
    <dxf>
      <numFmt numFmtId="172" formatCode="_-* #,##0.0\ _€_-;\-* #,##0.0\ _€_-;_-* &quot;-&quot;??\ _€_-;_-@_-"/>
    </dxf>
    <dxf>
      <numFmt numFmtId="169" formatCode="_-* #,##0.00\ _€_-;\-* #,##0.00\ _€_-;_-* &quot;-&quot;??\ _€_-;_-@_-"/>
    </dxf>
    <dxf>
      <numFmt numFmtId="170" formatCode="_-* #,##0.000\ _€_-;\-* #,##0.000\ _€_-;_-* &quot;-&quot;??\ _€_-;_-@_-"/>
    </dxf>
    <dxf>
      <numFmt numFmtId="171" formatCode="_-* #,##0.0000\ _€_-;\-* #,##0.0000\ _€_-;_-* &quot;-&quot;??\ _€_-;_-@_-"/>
    </dxf>
    <dxf>
      <numFmt numFmtId="170" formatCode="_-* #,##0.000\ _€_-;\-* #,##0.000\ _€_-;_-* &quot;-&quot;??\ _€_-;_-@_-"/>
    </dxf>
    <dxf>
      <numFmt numFmtId="169" formatCode="_-* #,##0.00\ _€_-;\-* #,##0.00\ _€_-;_-* &quot;-&quot;??\ _€_-;_-@_-"/>
    </dxf>
    <dxf>
      <numFmt numFmtId="169" formatCode="_-* #,##0.00\ _€_-;\-* #,##0.00\ _€_-;_-* &quot;-&quot;??\ _€_-;_-@_-"/>
    </dxf>
    <dxf>
      <numFmt numFmtId="168" formatCode="_ [$$-340A]* #,##0.00_ ;_ [$$-340A]* \-#,##0.00_ ;_ [$$-340A]* &quot;-&quot;??_ ;_ @_ "/>
    </dxf>
    <dxf>
      <numFmt numFmtId="167" formatCode="_-* #,##0.00\ &quot;€&quot;_-;\-* #,##0.00\ &quot;€&quot;_-;_-* &quot;-&quot;??\ &quot;€&quot;_-;_-@_-"/>
    </dxf>
    <dxf>
      <numFmt numFmtId="2" formatCode="0.00"/>
    </dxf>
    <dxf>
      <numFmt numFmtId="2" formatCode="0.00"/>
    </dxf>
    <dxf>
      <numFmt numFmtId="2" formatCode="0.00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65" formatCode="_-* #,##0\ _€_-;\-* #,##0\ _€_-;_-* &quot;-&quot;??\ _€_-;_-@_-"/>
    </dxf>
    <dxf>
      <numFmt numFmtId="172" formatCode="_-* #,##0.0\ _€_-;\-* #,##0.0\ _€_-;_-* &quot;-&quot;??\ _€_-;_-@_-"/>
    </dxf>
    <dxf>
      <numFmt numFmtId="169" formatCode="_-* #,##0.00\ _€_-;\-* #,##0.00\ _€_-;_-* &quot;-&quot;??\ _€_-;_-@_-"/>
    </dxf>
    <dxf>
      <numFmt numFmtId="170" formatCode="_-* #,##0.000\ _€_-;\-* #,##0.000\ _€_-;_-* &quot;-&quot;??\ _€_-;_-@_-"/>
    </dxf>
    <dxf>
      <numFmt numFmtId="171" formatCode="_-* #,##0.0000\ _€_-;\-* #,##0.0000\ _€_-;_-* &quot;-&quot;??\ _€_-;_-@_-"/>
    </dxf>
    <dxf>
      <numFmt numFmtId="170" formatCode="_-* #,##0.000\ _€_-;\-* #,##0.000\ _€_-;_-* &quot;-&quot;??\ _€_-;_-@_-"/>
    </dxf>
    <dxf>
      <numFmt numFmtId="169" formatCode="_-* #,##0.00\ _€_-;\-* #,##0.00\ _€_-;_-* &quot;-&quot;??\ _€_-;_-@_-"/>
    </dxf>
    <dxf>
      <numFmt numFmtId="169" formatCode="_-* #,##0.00\ _€_-;\-* #,##0.00\ _€_-;_-* &quot;-&quot;??\ _€_-;_-@_-"/>
    </dxf>
    <dxf>
      <numFmt numFmtId="168" formatCode="_ [$$-340A]* #,##0.00_ ;_ [$$-340A]* \-#,##0.00_ ;_ [$$-340A]* &quot;-&quot;??_ ;_ @_ "/>
    </dxf>
    <dxf>
      <numFmt numFmtId="167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u val="none"/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B7B9"/>
      <color rgb="FFA1DEE3"/>
      <color rgb="FFCDF0FF"/>
      <color rgb="FFD0E8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[EPP.xlsm]Analisis!TablaDinámica9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>
                    <a:lumMod val="75000"/>
                  </a:schemeClr>
                </a:solidFill>
              </a:rPr>
              <a:t>Valores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5">
                  <a:lumMod val="67000"/>
                </a:schemeClr>
              </a:gs>
              <a:gs pos="95000">
                <a:schemeClr val="accent5">
                  <a:lumMod val="97000"/>
                  <a:lumOff val="3000"/>
                </a:schemeClr>
              </a:gs>
            </a:gsLst>
            <a:lin ang="8100000" scaled="1"/>
            <a:tileRect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</c:pivotFmt>
      <c:pivotFmt>
        <c:idx val="6"/>
        <c:spPr>
          <a:gradFill flip="none" rotWithShape="1">
            <a:gsLst>
              <a:gs pos="0">
                <a:schemeClr val="accent5">
                  <a:lumMod val="89000"/>
                </a:schemeClr>
              </a:gs>
              <a:gs pos="23000">
                <a:schemeClr val="accent5">
                  <a:lumMod val="89000"/>
                </a:schemeClr>
              </a:gs>
              <a:gs pos="69000">
                <a:schemeClr val="accent5">
                  <a:lumMod val="75000"/>
                </a:schemeClr>
              </a:gs>
              <a:gs pos="97000">
                <a:schemeClr val="accent5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  <a:scene3d>
            <a:camera prst="orthographicFront"/>
            <a:lightRig rig="threePt" dir="t"/>
          </a:scene3d>
          <a:sp3d prstMaterial="translucentPowder"/>
        </c:spPr>
        <c:marker>
          <c:symbol val="none"/>
        </c:marker>
      </c:pivotFmt>
      <c:pivotFmt>
        <c:idx val="7"/>
        <c:spPr>
          <a:gradFill flip="none" rotWithShape="1">
            <a:gsLst>
              <a:gs pos="0">
                <a:schemeClr val="accent5">
                  <a:lumMod val="89000"/>
                </a:schemeClr>
              </a:gs>
              <a:gs pos="23000">
                <a:schemeClr val="accent5">
                  <a:lumMod val="89000"/>
                </a:schemeClr>
              </a:gs>
              <a:gs pos="69000">
                <a:schemeClr val="accent5">
                  <a:lumMod val="75000"/>
                </a:schemeClr>
              </a:gs>
              <a:gs pos="97000">
                <a:schemeClr val="accent5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/>
          <a:scene3d>
            <a:camera prst="orthographicFront"/>
            <a:lightRig rig="freezing" dir="t"/>
          </a:scene3d>
          <a:sp3d prstMaterial="translucentPowder"/>
        </c:spPr>
        <c:marker>
          <c:symbol val="none"/>
        </c:marker>
      </c:pivotFmt>
      <c:pivotFmt>
        <c:idx val="8"/>
        <c:spPr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/>
          <a:scene3d>
            <a:camera prst="orthographicFront"/>
            <a:lightRig rig="freezing" dir="t"/>
          </a:scene3d>
          <a:sp3d prstMaterial="translucentPowder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Analisis!$O$4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  <a:scene3d>
              <a:camera prst="orthographicFront"/>
              <a:lightRig rig="freezing" dir="t"/>
            </a:scene3d>
            <a:sp3d prstMaterial="translucentPowder"/>
          </c:spPr>
          <c:invertIfNegative val="0"/>
          <c:cat>
            <c:strRef>
              <c:f>Analisis!$N$5:$N$12</c:f>
              <c:strCache>
                <c:ptCount val="7"/>
                <c:pt idx="0">
                  <c:v>Delantal</c:v>
                </c:pt>
                <c:pt idx="1">
                  <c:v>Slack</c:v>
                </c:pt>
                <c:pt idx="2">
                  <c:v>Zapatos</c:v>
                </c:pt>
                <c:pt idx="3">
                  <c:v>Parka</c:v>
                </c:pt>
                <c:pt idx="4">
                  <c:v>Botas</c:v>
                </c:pt>
                <c:pt idx="5">
                  <c:v>Termicos</c:v>
                </c:pt>
                <c:pt idx="6">
                  <c:v>Ignifugos</c:v>
                </c:pt>
              </c:strCache>
            </c:strRef>
          </c:cat>
          <c:val>
            <c:numRef>
              <c:f>Analisis!$O$5:$O$12</c:f>
              <c:numCache>
                <c:formatCode>_("$"* #,##0_);_("$"* \(#,##0\);_("$"* "-"_);_(@_)</c:formatCode>
                <c:ptCount val="7"/>
                <c:pt idx="0">
                  <c:v>131600</c:v>
                </c:pt>
                <c:pt idx="1">
                  <c:v>74040</c:v>
                </c:pt>
                <c:pt idx="2">
                  <c:v>47790</c:v>
                </c:pt>
                <c:pt idx="3">
                  <c:v>38000</c:v>
                </c:pt>
                <c:pt idx="4">
                  <c:v>8950</c:v>
                </c:pt>
                <c:pt idx="5">
                  <c:v>108000</c:v>
                </c:pt>
                <c:pt idx="6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D-48EB-815B-F1829E3EB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1876205504"/>
        <c:axId val="1876211328"/>
      </c:barChart>
      <c:catAx>
        <c:axId val="187620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211328"/>
        <c:crosses val="autoZero"/>
        <c:auto val="1"/>
        <c:lblAlgn val="ctr"/>
        <c:lblOffset val="100"/>
        <c:noMultiLvlLbl val="0"/>
      </c:catAx>
      <c:valAx>
        <c:axId val="18762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2055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[EPP.xlsm]Analisis!TablaDinámica6</c:name>
    <c:fmtId val="5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>
                    <a:lumMod val="75000"/>
                  </a:schemeClr>
                </a:solidFill>
              </a:rPr>
              <a:t>Cantidades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flip="none" rotWithShape="1">
            <a:gsLst>
              <a:gs pos="0">
                <a:schemeClr val="accent3">
                  <a:lumMod val="89000"/>
                </a:schemeClr>
              </a:gs>
              <a:gs pos="23000">
                <a:schemeClr val="accent3">
                  <a:lumMod val="89000"/>
                </a:schemeClr>
              </a:gs>
              <a:gs pos="69000">
                <a:schemeClr val="accent3">
                  <a:lumMod val="75000"/>
                </a:schemeClr>
              </a:gs>
              <a:gs pos="97000">
                <a:schemeClr val="accent3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 prstMaterial="powder"/>
        </c:spPr>
        <c:marker>
          <c:symbol val="none"/>
        </c:marker>
      </c:pivotFmt>
      <c:pivotFmt>
        <c:idx val="4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 prstMaterial="translucentPowder"/>
        </c:spPr>
        <c:marker>
          <c:symbol val="none"/>
        </c:marker>
      </c:pivotFmt>
      <c:pivotFmt>
        <c:idx val="5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7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8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9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10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11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12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13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  <c:pivotFmt>
        <c:idx val="14"/>
        <c:spPr>
          <a:gradFill flip="none" rotWithShape="1">
            <a:gsLst>
              <a:gs pos="0">
                <a:schemeClr val="accent1">
                  <a:lumMod val="89000"/>
                </a:schemeClr>
              </a:gs>
              <a:gs pos="23000">
                <a:schemeClr val="accent1">
                  <a:lumMod val="89000"/>
                </a:schemeClr>
              </a:gs>
              <a:gs pos="6900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>
            <a:noFill/>
          </a:ln>
          <a:effectLst>
            <a:innerShdw blurRad="63500" dist="50800" dir="5400000">
              <a:prstClr val="black">
                <a:alpha val="50000"/>
              </a:prstClr>
            </a:innerShdw>
          </a:effectLst>
          <a:scene3d>
            <a:camera prst="orthographicFront"/>
            <a:lightRig rig="freezing" dir="t"/>
          </a:scene3d>
          <a:sp3d prstMaterial="translucentPowder"/>
        </c:spPr>
      </c:pivotFmt>
    </c:pivotFmts>
    <c:plotArea>
      <c:layout/>
      <c:barChart>
        <c:barDir val="col"/>
        <c:grouping val="stacked"/>
        <c:varyColors val="1"/>
        <c:ser>
          <c:idx val="0"/>
          <c:order val="0"/>
          <c:tx>
            <c:strRef>
              <c:f>Analisis!$L$4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89000"/>
                  </a:schemeClr>
                </a:gs>
                <a:gs pos="23000">
                  <a:schemeClr val="accent1">
                    <a:lumMod val="89000"/>
                  </a:schemeClr>
                </a:gs>
                <a:gs pos="69000">
                  <a:schemeClr val="accent1">
                    <a:lumMod val="75000"/>
                  </a:schemeClr>
                </a:gs>
                <a:gs pos="97000">
                  <a:schemeClr val="accent1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effectLst>
              <a:innerShdw blurRad="63500" dist="50800" dir="54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freezing" dir="t"/>
            </a:scene3d>
            <a:sp3d prstMaterial="translucentPowder"/>
          </c:spPr>
          <c:invertIfNegative val="1"/>
          <c:dPt>
            <c:idx val="0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1-0083-4A6A-87FD-48B12116AC99}"/>
              </c:ext>
            </c:extLst>
          </c:dPt>
          <c:dPt>
            <c:idx val="1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3-0083-4A6A-87FD-48B12116AC99}"/>
              </c:ext>
            </c:extLst>
          </c:dPt>
          <c:dPt>
            <c:idx val="2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5-0083-4A6A-87FD-48B12116AC99}"/>
              </c:ext>
            </c:extLst>
          </c:dPt>
          <c:dPt>
            <c:idx val="3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7-0083-4A6A-87FD-48B12116AC99}"/>
              </c:ext>
            </c:extLst>
          </c:dPt>
          <c:dPt>
            <c:idx val="4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9-0083-4A6A-87FD-48B12116AC99}"/>
              </c:ext>
            </c:extLst>
          </c:dPt>
          <c:dPt>
            <c:idx val="5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B-0083-4A6A-87FD-48B12116AC99}"/>
              </c:ext>
            </c:extLst>
          </c:dPt>
          <c:dPt>
            <c:idx val="6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D-0083-4A6A-87FD-48B12116AC99}"/>
              </c:ext>
            </c:extLst>
          </c:dPt>
          <c:dPt>
            <c:idx val="7"/>
            <c:invertIfNegative val="1"/>
            <c:bubble3D val="0"/>
            <c:spPr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innerShdw blurRad="63500" dist="50800" dir="5400000">
                  <a:prstClr val="black">
                    <a:alpha val="50000"/>
                  </a:prstClr>
                </a:innerShdw>
              </a:effectLst>
              <a:scene3d>
                <a:camera prst="orthographicFront"/>
                <a:lightRig rig="freezing" dir="t"/>
              </a:scene3d>
              <a:sp3d prstMaterial="translucentPowder"/>
            </c:spPr>
            <c:extLst>
              <c:ext xmlns:c16="http://schemas.microsoft.com/office/drawing/2014/chart" uri="{C3380CC4-5D6E-409C-BE32-E72D297353CC}">
                <c16:uniqueId val="{0000000F-0083-4A6A-87FD-48B12116AC99}"/>
              </c:ext>
            </c:extLst>
          </c:dPt>
          <c:cat>
            <c:strRef>
              <c:f>Analisis!$K$5:$K$12</c:f>
              <c:strCache>
                <c:ptCount val="7"/>
                <c:pt idx="0">
                  <c:v>Delantal</c:v>
                </c:pt>
                <c:pt idx="1">
                  <c:v>Slack</c:v>
                </c:pt>
                <c:pt idx="2">
                  <c:v>Zapatos</c:v>
                </c:pt>
                <c:pt idx="3">
                  <c:v>Parka</c:v>
                </c:pt>
                <c:pt idx="4">
                  <c:v>Botas</c:v>
                </c:pt>
                <c:pt idx="5">
                  <c:v>Termicos</c:v>
                </c:pt>
                <c:pt idx="6">
                  <c:v>Ignifugos</c:v>
                </c:pt>
              </c:strCache>
            </c:strRef>
          </c:cat>
          <c:val>
            <c:numRef>
              <c:f>Analisis!$L$5:$L$12</c:f>
              <c:numCache>
                <c:formatCode>0.00</c:formatCode>
                <c:ptCount val="7"/>
                <c:pt idx="0">
                  <c:v>8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9-4F23-B6BE-92207355A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1946552768"/>
        <c:axId val="1946554016"/>
      </c:barChart>
      <c:catAx>
        <c:axId val="194655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46554016"/>
        <c:crosses val="autoZero"/>
        <c:auto val="1"/>
        <c:lblAlgn val="ctr"/>
        <c:lblOffset val="100"/>
        <c:noMultiLvlLbl val="0"/>
      </c:catAx>
      <c:valAx>
        <c:axId val="194655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465527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rgbClr val="0070C0"/>
                </a:solidFill>
              </a:rPr>
              <a:t>EPP Por</a:t>
            </a:r>
            <a:r>
              <a:rPr lang="es-ES" sz="1600" b="1" baseline="0">
                <a:solidFill>
                  <a:srgbClr val="0070C0"/>
                </a:solidFill>
              </a:rPr>
              <a:t> Entregar</a:t>
            </a:r>
            <a:endParaRPr lang="es-ES" sz="1600" b="1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0" scaled="1"/>
              <a:tileRect/>
            </a:gradFill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5">
                      <a:lumMod val="67000"/>
                    </a:schemeClr>
                  </a:gs>
                  <a:gs pos="48000">
                    <a:schemeClr val="accent5">
                      <a:lumMod val="97000"/>
                      <a:lumOff val="3000"/>
                    </a:schemeClr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E-4EC1-B541-3B4E1FCC9F3E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04E-4EC1-B541-3B4E1FCC9F3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Analisis!$B$34:$C$34</c15:sqref>
                  </c15:fullRef>
                </c:ext>
              </c:extLst>
              <c:f>Analisis!$B$34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404E-4EC1-B541-3B4E1FCC9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rgbClr val="0070C0"/>
                </a:solidFill>
              </a:rPr>
              <a:t>EPP</a:t>
            </a:r>
            <a:r>
              <a:rPr lang="es-ES" sz="1600" b="1" baseline="0">
                <a:solidFill>
                  <a:srgbClr val="0070C0"/>
                </a:solidFill>
              </a:rPr>
              <a:t> Entrgado </a:t>
            </a:r>
            <a:endParaRPr lang="es-ES" sz="1600" b="1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8641109532101557"/>
          <c:y val="0.22666375036453776"/>
          <c:w val="0.67392238119057324"/>
          <c:h val="0.66745953630796151"/>
        </c:manualLayout>
      </c:layout>
      <c:doughnutChart>
        <c:varyColors val="1"/>
        <c:ser>
          <c:idx val="0"/>
          <c:order val="0"/>
          <c:spPr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1">
                      <a:lumMod val="67000"/>
                    </a:schemeClr>
                  </a:gs>
                  <a:gs pos="48000">
                    <a:schemeClr val="accent1">
                      <a:lumMod val="97000"/>
                      <a:lumOff val="3000"/>
                    </a:schemeClr>
                  </a:gs>
                  <a:gs pos="100000">
                    <a:schemeClr val="accent1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AD-4533-9ECF-87334BBBD5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Analisis!$B$34:$C$34</c15:sqref>
                  </c15:fullRef>
                </c:ext>
              </c:extLst>
              <c:f>Analisis!$C$34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2-0DAD-4533-9ECF-87334BBBD5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23091</xdr:colOff>
      <xdr:row>32</xdr:row>
      <xdr:rowOff>0</xdr:rowOff>
    </xdr:from>
    <xdr:to>
      <xdr:col>14</xdr:col>
      <xdr:colOff>857250</xdr:colOff>
      <xdr:row>66</xdr:row>
      <xdr:rowOff>101023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Nombre del Trabajador 1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Trabaj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67174" y="5080000"/>
              <a:ext cx="4072659" cy="6546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11</xdr:col>
      <xdr:colOff>0</xdr:colOff>
      <xdr:row>19</xdr:row>
      <xdr:rowOff>-1</xdr:rowOff>
    </xdr:from>
    <xdr:to>
      <xdr:col>14</xdr:col>
      <xdr:colOff>822614</xdr:colOff>
      <xdr:row>32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Turno 1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4083" y="3016249"/>
              <a:ext cx="4061114" cy="20637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349250</xdr:colOff>
      <xdr:row>25</xdr:row>
      <xdr:rowOff>128727</xdr:rowOff>
    </xdr:from>
    <xdr:to>
      <xdr:col>10</xdr:col>
      <xdr:colOff>619125</xdr:colOff>
      <xdr:row>38</xdr:row>
      <xdr:rowOff>57727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Producto 1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7250" y="4097477"/>
              <a:ext cx="10345208" cy="1992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46182</xdr:colOff>
      <xdr:row>38</xdr:row>
      <xdr:rowOff>46183</xdr:rowOff>
    </xdr:from>
    <xdr:to>
      <xdr:col>10</xdr:col>
      <xdr:colOff>623287</xdr:colOff>
      <xdr:row>51</xdr:row>
      <xdr:rowOff>128788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7</xdr:row>
      <xdr:rowOff>80818</xdr:rowOff>
    </xdr:from>
    <xdr:to>
      <xdr:col>10</xdr:col>
      <xdr:colOff>539750</xdr:colOff>
      <xdr:row>25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919018</xdr:colOff>
      <xdr:row>8</xdr:row>
      <xdr:rowOff>134216</xdr:rowOff>
    </xdr:from>
    <xdr:to>
      <xdr:col>14</xdr:col>
      <xdr:colOff>692727</xdr:colOff>
      <xdr:row>17</xdr:row>
      <xdr:rowOff>119490</xdr:rowOff>
    </xdr:to>
    <xdr:sp macro="" textlink="Analisis!B9">
      <xdr:nvSpPr>
        <xdr:cNvPr id="6" name="Redondear rectángulo de esquina diagon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4079393" y="1404216"/>
          <a:ext cx="3932959" cy="1414024"/>
        </a:xfrm>
        <a:prstGeom prst="round2Diag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710D95DD-FB60-4E46-B87D-1AE7681BA567}" type="TxLink">
            <a:rPr lang="en-US" sz="4000" b="1" i="0" u="none" strike="noStrike">
              <a:solidFill>
                <a:schemeClr val="bg1"/>
              </a:solidFill>
              <a:latin typeface="Arial"/>
              <a:ea typeface="+mn-ea"/>
              <a:cs typeface="Arial"/>
            </a:rPr>
            <a:pPr marL="0" indent="0" algn="ctr"/>
            <a:t>23,00</a:t>
          </a:fld>
          <a:endParaRPr lang="es-ES" sz="4000" b="1" i="0" u="none" strike="noStrike">
            <a:solidFill>
              <a:schemeClr val="bg1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 editAs="absolute">
    <xdr:from>
      <xdr:col>10</xdr:col>
      <xdr:colOff>920172</xdr:colOff>
      <xdr:row>0</xdr:row>
      <xdr:rowOff>111125</xdr:rowOff>
    </xdr:from>
    <xdr:to>
      <xdr:col>14</xdr:col>
      <xdr:colOff>727364</xdr:colOff>
      <xdr:row>9</xdr:row>
      <xdr:rowOff>99285</xdr:rowOff>
    </xdr:to>
    <xdr:sp macro="" textlink="Analisis!B18">
      <xdr:nvSpPr>
        <xdr:cNvPr id="23" name="Redondear rectángulo de esquina diagon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166272" y="111125"/>
          <a:ext cx="3991842" cy="1416910"/>
        </a:xfrm>
        <a:prstGeom prst="round2Diag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6363AE5-125A-438F-9BAE-B8E2B8E713F8}" type="TxLink">
            <a:rPr lang="en-US" sz="4000" b="1" i="0" u="none" strike="noStrike">
              <a:solidFill>
                <a:schemeClr val="bg1"/>
              </a:solidFill>
              <a:latin typeface="Arial"/>
              <a:ea typeface="+mn-ea"/>
              <a:cs typeface="Arial"/>
            </a:rPr>
            <a:pPr marL="0" indent="0" algn="ctr"/>
            <a:t> $488.380 </a:t>
          </a:fld>
          <a:endParaRPr lang="en-US" sz="4000" b="1" i="0" u="none" strike="noStrike">
            <a:solidFill>
              <a:schemeClr val="bg1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 editAs="absolute">
    <xdr:from>
      <xdr:col>11</xdr:col>
      <xdr:colOff>609023</xdr:colOff>
      <xdr:row>14</xdr:row>
      <xdr:rowOff>67830</xdr:rowOff>
    </xdr:from>
    <xdr:to>
      <xdr:col>14</xdr:col>
      <xdr:colOff>366568</xdr:colOff>
      <xdr:row>17</xdr:row>
      <xdr:rowOff>102467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4801273" y="2290330"/>
          <a:ext cx="2996045" cy="51088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Cantidades</a:t>
          </a:r>
          <a:endParaRPr lang="es-ES" sz="1100" b="1"/>
        </a:p>
      </xdr:txBody>
    </xdr:sp>
    <xdr:clientData/>
  </xdr:twoCellAnchor>
  <xdr:twoCellAnchor editAs="absolute">
    <xdr:from>
      <xdr:col>11</xdr:col>
      <xdr:colOff>424295</xdr:colOff>
      <xdr:row>6</xdr:row>
      <xdr:rowOff>102466</xdr:rowOff>
    </xdr:from>
    <xdr:to>
      <xdr:col>14</xdr:col>
      <xdr:colOff>588818</xdr:colOff>
      <xdr:row>8</xdr:row>
      <xdr:rowOff>111124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4616545" y="1054966"/>
          <a:ext cx="3403023" cy="3261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Valores</a:t>
          </a:r>
          <a:endParaRPr lang="es-ES" sz="1100" b="1"/>
        </a:p>
      </xdr:txBody>
    </xdr:sp>
    <xdr:clientData/>
  </xdr:twoCellAnchor>
  <xdr:twoCellAnchor editAs="absolute">
    <xdr:from>
      <xdr:col>0</xdr:col>
      <xdr:colOff>398317</xdr:colOff>
      <xdr:row>24</xdr:row>
      <xdr:rowOff>127289</xdr:rowOff>
    </xdr:from>
    <xdr:to>
      <xdr:col>4</xdr:col>
      <xdr:colOff>39995</xdr:colOff>
      <xdr:row>41</xdr:row>
      <xdr:rowOff>122671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323273</xdr:colOff>
      <xdr:row>8</xdr:row>
      <xdr:rowOff>28865</xdr:rowOff>
    </xdr:from>
    <xdr:to>
      <xdr:col>3</xdr:col>
      <xdr:colOff>754166</xdr:colOff>
      <xdr:row>25</xdr:row>
      <xdr:rowOff>24246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450273</xdr:colOff>
      <xdr:row>14</xdr:row>
      <xdr:rowOff>36078</xdr:rowOff>
    </xdr:from>
    <xdr:to>
      <xdr:col>3</xdr:col>
      <xdr:colOff>23092</xdr:colOff>
      <xdr:row>21</xdr:row>
      <xdr:rowOff>1443</xdr:rowOff>
    </xdr:to>
    <xdr:sp macro="" textlink="Analisis!C36">
      <xdr:nvSpPr>
        <xdr:cNvPr id="7" name="Elips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2273" y="2258578"/>
          <a:ext cx="1096819" cy="107661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AFF1E128-9D25-4F8A-B23A-A10F715473F8}" type="TxLink">
            <a:rPr lang="en-US" sz="2000" b="1" i="0" u="none" strike="noStrike">
              <a:solidFill>
                <a:srgbClr val="0070C0"/>
              </a:solidFill>
              <a:latin typeface="Arial"/>
              <a:ea typeface="+mn-ea"/>
              <a:cs typeface="Arial"/>
            </a:rPr>
            <a:pPr marL="0" indent="0" algn="ctr"/>
            <a:t>43%</a:t>
          </a:fld>
          <a:endParaRPr lang="es-ES" sz="2000" b="1" i="0" u="none" strike="noStrike">
            <a:solidFill>
              <a:srgbClr val="0070C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 editAs="absolute">
    <xdr:from>
      <xdr:col>1</xdr:col>
      <xdr:colOff>432956</xdr:colOff>
      <xdr:row>30</xdr:row>
      <xdr:rowOff>157306</xdr:rowOff>
    </xdr:from>
    <xdr:to>
      <xdr:col>3</xdr:col>
      <xdr:colOff>5775</xdr:colOff>
      <xdr:row>37</xdr:row>
      <xdr:rowOff>122670</xdr:rowOff>
    </xdr:to>
    <xdr:sp macro="" textlink="Analisis!B36">
      <xdr:nvSpPr>
        <xdr:cNvPr id="45" name="Elips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194956" y="4919806"/>
          <a:ext cx="1096819" cy="107661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723DE9BB-0D7D-4E04-8248-9FE8ABA3F85A}" type="TxLink">
            <a:rPr lang="en-US" sz="2000" b="1" i="0" u="none" strike="noStrike">
              <a:solidFill>
                <a:srgbClr val="0070C0"/>
              </a:solidFill>
              <a:latin typeface="Arial"/>
              <a:ea typeface="+mn-ea"/>
              <a:cs typeface="Arial"/>
            </a:rPr>
            <a:pPr marL="0" indent="0" algn="ctr"/>
            <a:t>58%</a:t>
          </a:fld>
          <a:endParaRPr lang="es-ES" sz="4800" b="1" i="0" u="none" strike="noStrike">
            <a:solidFill>
              <a:srgbClr val="0070C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 editAs="absolute">
    <xdr:from>
      <xdr:col>0</xdr:col>
      <xdr:colOff>375227</xdr:colOff>
      <xdr:row>41</xdr:row>
      <xdr:rowOff>152978</xdr:rowOff>
    </xdr:from>
    <xdr:to>
      <xdr:col>4</xdr:col>
      <xdr:colOff>17318</xdr:colOff>
      <xdr:row>46</xdr:row>
      <xdr:rowOff>129887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Entrgado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g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227" y="6661728"/>
              <a:ext cx="2690091" cy="7706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absolute">
    <xdr:from>
      <xdr:col>5</xdr:col>
      <xdr:colOff>1010219</xdr:colOff>
      <xdr:row>0</xdr:row>
      <xdr:rowOff>62276</xdr:rowOff>
    </xdr:from>
    <xdr:to>
      <xdr:col>5</xdr:col>
      <xdr:colOff>1194950</xdr:colOff>
      <xdr:row>6</xdr:row>
      <xdr:rowOff>47405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801583" y="62276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/>
            <a:pattFill prst="dkUpDiag">
              <a:fgClr>
                <a:schemeClr val="bg1">
                  <a:lumMod val="50000"/>
                </a:schemeClr>
              </a:fgClr>
              <a:bgClr>
                <a:schemeClr val="tx1">
                  <a:lumMod val="75000"/>
                  <a:lumOff val="25000"/>
                </a:schemeClr>
              </a:bgClr>
            </a:patt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254000</xdr:colOff>
      <xdr:row>1</xdr:row>
      <xdr:rowOff>43514</xdr:rowOff>
    </xdr:from>
    <xdr:to>
      <xdr:col>8</xdr:col>
      <xdr:colOff>479618</xdr:colOff>
      <xdr:row>7</xdr:row>
      <xdr:rowOff>28643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2000" y="202264"/>
          <a:ext cx="7633951" cy="937629"/>
        </a:xfrm>
        <a:prstGeom prst="rect">
          <a:avLst/>
        </a:prstGeom>
        <a:noFill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/>
              <a:solidFill>
                <a:schemeClr val="tx2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Entrega de EPP: Resumen</a:t>
          </a:r>
        </a:p>
      </xdr:txBody>
    </xdr:sp>
    <xdr:clientData/>
  </xdr:twoCellAnchor>
  <xdr:twoCellAnchor editAs="oneCell">
    <xdr:from>
      <xdr:col>0</xdr:col>
      <xdr:colOff>740836</xdr:colOff>
      <xdr:row>0</xdr:row>
      <xdr:rowOff>63500</xdr:rowOff>
    </xdr:from>
    <xdr:to>
      <xdr:col>3</xdr:col>
      <xdr:colOff>539751</xdr:colOff>
      <xdr:row>7</xdr:row>
      <xdr:rowOff>99282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7CEA2D1-3942-8BC9-F8CB-9A630132CB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836" y="63500"/>
          <a:ext cx="2084915" cy="1147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53021</xdr:colOff>
      <xdr:row>1</xdr:row>
      <xdr:rowOff>99387</xdr:rowOff>
    </xdr:from>
    <xdr:to>
      <xdr:col>9</xdr:col>
      <xdr:colOff>333753</xdr:colOff>
      <xdr:row>5</xdr:row>
      <xdr:rowOff>107209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6437657" y="261023"/>
          <a:ext cx="6954005" cy="792913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REGISTRO ENTREGA EPP</a:t>
          </a:r>
          <a:endParaRPr lang="es-E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173182</xdr:colOff>
      <xdr:row>1</xdr:row>
      <xdr:rowOff>58764</xdr:rowOff>
    </xdr:from>
    <xdr:to>
      <xdr:col>1</xdr:col>
      <xdr:colOff>2193637</xdr:colOff>
      <xdr:row>7</xdr:row>
      <xdr:rowOff>2309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DD665D9-8D4A-4980-2937-9F32FF6153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1455" y="220400"/>
          <a:ext cx="2020455" cy="11211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3867727</xdr:colOff>
      <xdr:row>11</xdr:row>
      <xdr:rowOff>34635</xdr:rowOff>
    </xdr:from>
    <xdr:to>
      <xdr:col>13</xdr:col>
      <xdr:colOff>50364</xdr:colOff>
      <xdr:row>15</xdr:row>
      <xdr:rowOff>108089</xdr:rowOff>
    </xdr:to>
    <xdr:pic macro="[0]!EPP">
      <xdr:nvPicPr>
        <xdr:cNvPr id="10" name="Gráfico 9" descr="Disco con relleno sólido">
          <a:extLst>
            <a:ext uri="{FF2B5EF4-FFF2-40B4-BE49-F238E27FC236}">
              <a16:creationId xmlns:a16="http://schemas.microsoft.com/office/drawing/2014/main" id="{75CA90D3-87A1-E348-CF45-CD80BFE0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892818" y="2332180"/>
          <a:ext cx="720000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184150</xdr:colOff>
      <xdr:row>0</xdr:row>
      <xdr:rowOff>152400</xdr:rowOff>
    </xdr:from>
    <xdr:to>
      <xdr:col>2</xdr:col>
      <xdr:colOff>488950</xdr:colOff>
      <xdr:row>3</xdr:row>
      <xdr:rowOff>25400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ADCF886-631A-064A-FA80-5FE2C109716D}"/>
            </a:ext>
          </a:extLst>
        </xdr:cNvPr>
        <xdr:cNvSpPr/>
      </xdr:nvSpPr>
      <xdr:spPr>
        <a:xfrm>
          <a:off x="946150" y="152400"/>
          <a:ext cx="2667000" cy="349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000" b="1"/>
            <a:t>Buscar Trabjador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6350</xdr:rowOff>
        </xdr:from>
        <xdr:to>
          <xdr:col>7</xdr:col>
          <xdr:colOff>107950</xdr:colOff>
          <xdr:row>3</xdr:row>
          <xdr:rowOff>88900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io Hueraman" refreshedDate="46011.940268402781" createdVersion="6" refreshedVersion="8" minRefreshableVersion="3" recordCount="30" xr:uid="{00000000-000A-0000-FFFF-FFFF00000000}">
  <cacheSource type="worksheet">
    <worksheetSource name="TRegistros"/>
  </cacheSource>
  <cacheFields count="13">
    <cacheField name="Nombre del Trabajador" numFmtId="0">
      <sharedItems containsBlank="1" count="148">
        <s v="Ramírez Díaz, Ana Sofía"/>
        <s v="Tapia Ibarra, Maximiliano Andrés"/>
        <s v="Reyes Alarcón, Nicolás Adrián"/>
        <s v="Soto Ramírez, María Fernanda"/>
        <s v="Pizarro Venegas, Javiera Lucía"/>
        <s v="Vega Figueroa, Daniela Alejandra"/>
        <s v="Miranda Godoy, Fernanda Paz"/>
        <s v="Navarro Espinoza, Tomás Emiliano"/>
        <s v="Gutiérrez Torres, Valentina Camila"/>
        <s v="Pérez González, Juan Andrés"/>
        <s v="Fernández López, Carlos Eduardo"/>
        <s v="Fuentes Riquelme, Emilia Josefa" u="1"/>
        <s v="Cabrera Peña, Martina Belén" u="1"/>
        <m u="1"/>
        <s v="Aburto Namoncura, Richard Antonio" u="1"/>
        <s v="Acuna Abarzua, Bernardo" u="1"/>
        <s v="Catalan Campos Constanza Esmeralda" u="1"/>
        <s v="Concha Gomez, Boris Gerardo" u="1"/>
        <s v="Fernandez Fernandez, Luis Alejandro" u="1"/>
        <s v="Garcia Perez, Edgardo" u="1"/>
        <s v="Gomez Espinoza, Sigal Francisca" u="1"/>
        <s v="Gonzalez Perez, Felipe Sebastian" u="1"/>
        <s v="Huenumilla Sayago, Francisco" u="1"/>
        <s v="Ibarra Perez, Carolina" u="1"/>
        <s v="Jeria Heitmann, Denisse Margaret" u="1"/>
        <s v="Kunstmann Jaramillo Miguel Angel" u="1"/>
        <s v="Leal Meza, Cristobal" u="1"/>
        <s v="Molina Lovera, Marcelo Alexis" u="1"/>
        <s v="Puerto Carrillo, Ciro Alfonso" u="1"/>
        <s v="Quezada Sepulveda, Jose Luis" u="1"/>
        <s v="Rivas Santana, Constanza Makarena" u="1"/>
        <s v="Rosas Bobadilla, Ines Del Carmen" u="1"/>
        <s v="Rosas Coronado, Daniel Abdon" u="1"/>
        <s v="Rubio Rojas, Yasmin Yagaira" u="1"/>
        <s v="Salgado Pino, Edgardo Enrique" u="1"/>
        <s v="Valenzuela Pinochet,Mario Enrique" u="1"/>
        <s v="Vidal Huenumilla, Angelica Maria" u="1"/>
        <s v="Aedo Alfaro, Patricio Enrique" u="1"/>
        <s v="Aguila Ayala, Rodolfo" u="1"/>
        <s v="Aguila Pena, Cesar Antonio" u="1"/>
        <s v="Astete Sandoval, Sergio Carlos" u="1"/>
        <s v="Balboa Henriquez, Victor Rodrigo" u="1"/>
        <s v="Barriga Ramirez, Wladimir Ignacio" u="1"/>
        <s v="Belmar Vasquez, Miguel Angel" u="1"/>
        <s v="Calfiu Ancamilla, Sergio Antonio" u="1"/>
        <s v="Catrileo Urzua Max Alexander" u="1"/>
        <s v="Chavez Toledo, Yasna Valeria" u="1"/>
        <s v="Concha Dominguez, Nicolas Andres" u="1"/>
        <s v="Contreras Arzola, Clenardo Gaston" u="1"/>
        <s v="Contreras Contreras, Christian Alejandro" u="1"/>
        <s v="Contreras Pizarro, Sebastian" u="1"/>
        <s v="Corales Lagos, Sixto Carlos Andres" u="1"/>
        <s v="Corales Munoz, Felipe Humberto" u="1"/>
        <s v="Cuevas Pineda, Ingrid" u="1"/>
        <s v="Gajardo Landaeta, Christian Alejandro" u="1"/>
        <s v="Garcias Estroz, Luis Rene" u="1"/>
        <s v="Guaiquillanca Labbe, Wildo Alex" u="1"/>
        <s v="Guerra Alcarraz, Victor Leonardo" u="1"/>
        <s v="Gutierrez Astete, Allan Antonio" u="1"/>
        <s v="Gutierrez Diaz, Juan Demetrio" u="1"/>
        <s v="Henriquez Cifuentes, Ruben Marcos" u="1"/>
        <s v="Ibacache Pineda, Armando Isaias" u="1"/>
        <s v="Ibanez Fuentes, Miguel Alejandro" u="1"/>
        <s v="Jabre Diaz, Marcos Patricio" u="1"/>
        <s v="Jaramillo Irribarra, Dorcka Alejandra" u="1"/>
        <s v="Jaramillo Quintrecura, Carlos Alberto" u="1"/>
        <s v="Jaramillo Quintrecura, Edgar Leandro" u="1"/>
        <s v="Jimenez Salinas, Oscar Matias" u="1"/>
        <s v="Landaeta Neira, Cristofer Alejandro" u="1"/>
        <s v="Leal Obreque, Adolfo Gonzalo" u="1"/>
        <s v="Leal Riquelme, Roberto Carlos" u="1"/>
        <s v="Leiva Oyarce, Omar Alejandro" u="1"/>
        <s v="Lopez Quinenao, Ricardo Ariel" u="1"/>
        <s v="Manquelipe Quintana, Lorena Jaqueline" u="1"/>
        <s v="Manquepillan Linconir, Ernesto Geronimo" u="1"/>
        <s v="Martinez Chaura, Javier Adolfo" u="1"/>
        <s v="Martinez Fernandez, Alvaro Jose" u="1"/>
        <s v="Mieres Bustos, Armin Javier" u="1"/>
        <s v="Millapan Pinchulaf, Oscar milton" u="1"/>
        <s v="Monsalve Castillo, Adrian Jonathan" u="1"/>
        <s v="Morapasten Tripailaf, Nancy Jacqueline" u="1"/>
        <s v="Munoz Erices, Sergio Isaac" u="1"/>
        <s v="Munoz Perez, Raul Hernan" u="1"/>
        <s v="Navarrete Lopez, Jose Hugo" u="1"/>
        <s v="Neira Cayul, Sigifredo Andres" u="1"/>
        <s v="Painenanco Troncoso, Rossana Goretty" u="1"/>
        <s v="Patino Olate, Cristian Alejandro" u="1"/>
        <s v="Pena Kunz, Aldo Walter" u="1"/>
        <s v="Pincheira Sierra, Alvaro Segundo" u="1"/>
        <s v="Quezada Lefihuala, Cristobal Erasmo" u="1"/>
        <s v="Quijada Bastidas, Leonidas Enrique" u="1"/>
        <s v="Quilodran Carrasco, Anibal Javier" u="1"/>
        <s v="Quinilen Cabrera, Enrique" u="1"/>
        <s v="Ramirez Mora, David Raul" u="1"/>
        <s v="Ramirez Valenzuela, Ruben Marcelo" u="1"/>
        <s v="Roa Rojas, Joel Rene" u="1"/>
        <s v="Robles Arriagada, Ruben Edison" u="1"/>
        <s v="Saez Arevalo Eduardo Alfonso" u="1"/>
        <s v="Saez Vera, Dilan Aron" u="1"/>
        <s v="Salgado Cortez, Alvaro Hernan" u="1"/>
        <s v="San Martin Bascunan, Bartolo Leonel" u="1"/>
        <s v="Sandoval Cisterna, Nector Ivan" u="1"/>
        <s v="Sayago Calfil, Juan Francisco" u="1"/>
        <s v="Silva Cartes, Alex Alejandro" u="1"/>
        <s v="Sisterna Cardenas Daniel Román" u="1"/>
        <s v="Toledo Saez, Gleen Martin" u="1"/>
        <s v="Torres Valenzuela, Paulina Andrea" u="1"/>
        <s v="Torres Vega, Marcos Andres" u="1"/>
        <s v="Urrutia Salazar, Claudio Andres" u="1"/>
        <s v="Valdes Pinto, Mixcy Yohanna" u="1"/>
        <s v="Valenzuela Obando, Luis Alberto" u="1"/>
        <s v="Valenzuela Obando, Luisa del Carmen" u="1"/>
        <s v="Vasquez Manqui, Jose Esteban" u="1"/>
        <s v="Vega Jimenez, Karim Giovanno" u="1"/>
        <s v="Velasquez Aedo, Mathias Sebastian" u="1"/>
        <s v="Vera Painenanco, Juan Ignacio" u="1"/>
        <s v="Vizcarra Garrido, Rene Orlando" u="1"/>
        <s v="Arias Jara, Rene Enrique" u="1"/>
        <s v="Burgos Matus, Camilo Enrique" u="1"/>
        <s v="Cabrera Labrin, Victor" u="1"/>
        <s v="Fica Quiñones, Felipe Alonso" u="1"/>
        <s v="Figueroa Calderon, Luis Marcelo" u="1"/>
        <s v="Godoy Aroca, Alan Edgar" u="1"/>
        <s v="Jara Avilez, Yovanny Francisco" u="1"/>
        <s v="Luchsinger Bartolott Emilio Andre" u="1"/>
        <s v="Manriquez Ramirez, Luis Moises" u="1"/>
        <s v="Mansilla Cendoya, Claudio Enrique" u="1"/>
        <s v="Mella Silva, Daniel Eugenio" u="1"/>
        <s v="Muñoz Sandoval, Hernan Ramiro" u="1"/>
        <s v="Perez Huaiquimilla, Freddy Octavio" u="1"/>
        <s v="Perez Valero, Carlos" u="1"/>
        <s v="Perez Valero, Kevin Jose" u="1"/>
        <s v="Quezada Tranamil, Francisco Gabriel" u="1"/>
        <s v="Reuque Yones, Elodia" u="1"/>
        <s v="Seguel Cadiz, Juan Carlos" u="1"/>
        <s v="Tapia Campos, Juan Israel" u="1"/>
        <s v="Torres Vidal, Alex Rudy" u="1"/>
        <s v="Urrea Figueroa, Ivan Armando" u="1"/>
        <s v="Vargas Vargas, Lorena Edit" u="1"/>
        <s v="Milsom ., Keith Joseph" u="1"/>
        <s v="Salazar Gallardo, Alvaro Roman" u="1"/>
        <s v="Villarroel Bludau, Jose Alfredo" u="1"/>
        <s v="Venega Kunstmann, Isidora Rocio" u="1"/>
        <s v="Ruiz Perez, Osvaldo Ivan" u="1"/>
        <s v="Rios Jaramillo, Cristian Leonardo" u="1"/>
        <s v="Fuentes Lineros, Mario Eduardo" u="1"/>
        <s v="Carrillo Rivera, Rodrigo Waldo " u="1"/>
        <s v="Altamirano Espinoza, Josè Hernàn" u="1"/>
      </sharedItems>
    </cacheField>
    <cacheField name="Rut" numFmtId="0">
      <sharedItems/>
    </cacheField>
    <cacheField name="Turno" numFmtId="0">
      <sharedItems containsMixedTypes="1" containsNumber="1" containsInteger="1" minValue="0" maxValue="0" count="5">
        <s v="B"/>
        <s v="A"/>
        <s v="C"/>
        <s v="D"/>
        <n v="0" u="1"/>
      </sharedItems>
    </cacheField>
    <cacheField name="Departamento" numFmtId="0">
      <sharedItems/>
    </cacheField>
    <cacheField name="Producto" numFmtId="0">
      <sharedItems containsBlank="1" count="37">
        <s v="Ignifugos"/>
        <s v="Termicos"/>
        <s v="Parka"/>
        <s v="Botas"/>
        <s v="Zapatos"/>
        <s v="Delantal"/>
        <s v="Slack"/>
        <s v="Poleras" u="1"/>
        <m u="1"/>
        <s v="Otros" u="1"/>
        <s v="Slack Gris" u="1"/>
        <s v="Zapato Norseg Dama" u="1"/>
        <s v="Zapato de Camara " u="1"/>
        <s v="Antiparra Antiempañante" u="1"/>
        <s v="Guantes Termicos " u="1"/>
        <s v="Pasamontañas" u="1"/>
        <s v="Slack Verde" u="1"/>
        <s v="Delantal Blanco" u="1"/>
        <s v="Chaleco Reflectante" u="1"/>
        <s v="Delantal Azul " u="1"/>
        <s v="Botas Verdes" u="1"/>
        <s v="Polera Azul" u="1"/>
        <s v="Botas Blancas" u="1"/>
        <s v="Polera Blanca" u="1"/>
        <s v="Polera Verde" u="1"/>
        <s v=" Primera Capa STD" u="1"/>
        <s v="Primera Capa" u="1"/>
        <s v="Polera Gris" u="1"/>
        <s v="Zapatos PANAMA JACK" u="1"/>
        <s v="Zapato Norseg Varon " u="1"/>
        <s v="Overol Termico STD" u="1"/>
        <s v="Pantalon Slack Blanco" u="1"/>
        <s v="Botas " u="1"/>
        <s v="Parka Alaska " u="1"/>
        <s v="Parka Highway" u="1"/>
        <s v="Ropa de Agua STD" u="1"/>
        <s v="Botas Verde/Blancas" u="1"/>
      </sharedItems>
    </cacheField>
    <cacheField name="Modelo-Color-EPP" numFmtId="0">
      <sharedItems containsBlank="1" count="29">
        <s v="Balaclava"/>
        <s v="Pantalon "/>
        <s v="Overol"/>
        <s v="Alaska"/>
        <s v="b_Verde"/>
        <s v="NorsegVaron"/>
        <s v="d_Blanco"/>
        <s v="s_Verde"/>
        <s v="s_Blanco"/>
        <s v="p_Gris" u="1"/>
        <m u="1"/>
        <s v="d_Azul" u="1"/>
        <s v="s_Gris" u="1"/>
        <s v="s_PantalonSlackBlanco" u="1"/>
        <s v="p_Azul" u="1"/>
        <s v="p_Verde" u="1"/>
        <s v="p_Blanco" u="1"/>
        <s v="NorsegDama" u="1"/>
        <s v="PanamaJack" u="1"/>
        <s v="Highway" u="1"/>
        <s v="PrimeraCapa" u="1"/>
        <s v="b_Blancas" u="1"/>
        <s v="b_VerdeBlanco" u="1"/>
        <s v="Pasamontañas" u="1"/>
        <s v="ChalecoReflectante" u="1"/>
        <s v="AntiparraAntiempañante" u="1"/>
        <s v="Guantes" u="1"/>
        <s v="Camara" u="1"/>
        <s v="RopaAgua" u="1"/>
      </sharedItems>
    </cacheField>
    <cacheField name="Talla" numFmtId="0">
      <sharedItems containsMixedTypes="1" containsNumber="1" containsInteger="1" minValue="35" maxValue="43"/>
    </cacheField>
    <cacheField name="Cantidad" numFmtId="0">
      <sharedItems containsSemiMixedTypes="0" containsString="0" containsNumber="1" containsInteger="1" minValue="1" maxValue="2"/>
    </cacheField>
    <cacheField name="Costo Unitario" numFmtId="42">
      <sharedItems containsSemiMixedTypes="0" containsString="0" containsNumber="1" containsInteger="1" minValue="8950" maxValue="47790"/>
    </cacheField>
    <cacheField name="Costo Total" numFmtId="42">
      <sharedItems containsSemiMixedTypes="0" containsString="0" containsNumber="1" containsInteger="1" minValue="8950" maxValue="49360"/>
    </cacheField>
    <cacheField name="Entrgado" numFmtId="49">
      <sharedItems containsBlank="1" count="3">
        <s v="NO"/>
        <s v="Si"/>
        <m u="1"/>
      </sharedItems>
    </cacheField>
    <cacheField name="Obsevaciones " numFmtId="0">
      <sharedItems/>
    </cacheField>
    <cacheField name="Previo Unidad " numFmtId="0" formula="'Costo Total'/Cantidad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1.478.965-0"/>
    <x v="0"/>
    <s v="MANTENCION"/>
    <x v="0"/>
    <x v="0"/>
    <s v="Unica"/>
    <n v="1"/>
    <n v="10000"/>
    <n v="10000"/>
    <x v="0"/>
    <s v="Prueba"/>
  </r>
  <r>
    <x v="1"/>
    <s v="56.678.901-1"/>
    <x v="0"/>
    <s v="ADMINISTRACION"/>
    <x v="0"/>
    <x v="0"/>
    <s v="Unica"/>
    <n v="1"/>
    <n v="10000"/>
    <n v="10000"/>
    <x v="0"/>
    <s v="Prueba"/>
  </r>
  <r>
    <x v="1"/>
    <s v="56.678.901-1"/>
    <x v="0"/>
    <s v="ADMINISTRACION"/>
    <x v="0"/>
    <x v="1"/>
    <n v="42"/>
    <n v="1"/>
    <n v="20000"/>
    <n v="20000"/>
    <x v="0"/>
    <s v="Prueba"/>
  </r>
  <r>
    <x v="2"/>
    <s v="89.012.345-0"/>
    <x v="1"/>
    <s v="PRODUCCION SDC"/>
    <x v="0"/>
    <x v="1"/>
    <n v="42"/>
    <n v="1"/>
    <n v="20000"/>
    <n v="20000"/>
    <x v="0"/>
    <s v="Prueba"/>
  </r>
  <r>
    <x v="3"/>
    <s v="98.765.432-1"/>
    <x v="1"/>
    <s v="PRODUCCION SDC"/>
    <x v="0"/>
    <x v="1"/>
    <n v="42"/>
    <n v="1"/>
    <n v="20000"/>
    <n v="20000"/>
    <x v="0"/>
    <s v="Prueba"/>
  </r>
  <r>
    <x v="3"/>
    <s v="98.765.432-1"/>
    <x v="1"/>
    <s v="PRODUCCION SDC"/>
    <x v="1"/>
    <x v="2"/>
    <s v="M"/>
    <n v="1"/>
    <n v="27000"/>
    <n v="27000"/>
    <x v="0"/>
    <s v="Prueba"/>
  </r>
  <r>
    <x v="4"/>
    <s v="23.345.678-2"/>
    <x v="2"/>
    <s v="MANTENCION"/>
    <x v="1"/>
    <x v="2"/>
    <s v="M"/>
    <n v="1"/>
    <n v="27000"/>
    <n v="27000"/>
    <x v="1"/>
    <s v="Prueba"/>
  </r>
  <r>
    <x v="5"/>
    <s v="56.789.012-3"/>
    <x v="3"/>
    <s v="PRODUCCION SDC"/>
    <x v="1"/>
    <x v="2"/>
    <s v="M"/>
    <n v="1"/>
    <n v="27000"/>
    <n v="27000"/>
    <x v="1"/>
    <s v="Prueba"/>
  </r>
  <r>
    <x v="5"/>
    <s v="56.789.012-3"/>
    <x v="3"/>
    <s v="PRODUCCION SDC"/>
    <x v="1"/>
    <x v="2"/>
    <s v="M"/>
    <n v="1"/>
    <n v="27000"/>
    <n v="27000"/>
    <x v="1"/>
    <s v="Prueba"/>
  </r>
  <r>
    <x v="5"/>
    <s v="56.789.012-3"/>
    <x v="3"/>
    <s v="PRODUCCION SDC"/>
    <x v="2"/>
    <x v="3"/>
    <s v="L"/>
    <n v="1"/>
    <n v="38000"/>
    <n v="38000"/>
    <x v="1"/>
    <s v="Prueba"/>
  </r>
  <r>
    <x v="5"/>
    <s v="56.789.012-3"/>
    <x v="3"/>
    <s v="PRODUCCION SDC"/>
    <x v="3"/>
    <x v="4"/>
    <n v="35"/>
    <n v="1"/>
    <n v="8950"/>
    <n v="8950"/>
    <x v="1"/>
    <s v="Prueba"/>
  </r>
  <r>
    <x v="6"/>
    <s v="67.789.012-5"/>
    <x v="2"/>
    <s v="SUPPLY CHAIN"/>
    <x v="4"/>
    <x v="5"/>
    <n v="43"/>
    <n v="1"/>
    <n v="47790"/>
    <n v="47790"/>
    <x v="1"/>
    <s v="Prueba"/>
  </r>
  <r>
    <x v="7"/>
    <s v="45.678.901-7"/>
    <x v="1"/>
    <s v="PRODUCCION SDC"/>
    <x v="5"/>
    <x v="6"/>
    <s v="M"/>
    <n v="2"/>
    <n v="16450"/>
    <n v="32900"/>
    <x v="1"/>
    <s v="Prueba"/>
  </r>
  <r>
    <x v="2"/>
    <s v="89.012.345-0"/>
    <x v="1"/>
    <s v="PRODUCCION SDC"/>
    <x v="5"/>
    <x v="6"/>
    <s v="M"/>
    <n v="2"/>
    <n v="16450"/>
    <n v="32900"/>
    <x v="1"/>
    <s v="Prueba"/>
  </r>
  <r>
    <x v="8"/>
    <s v="67.894.123-6"/>
    <x v="0"/>
    <s v="PRODUCCION SDC"/>
    <x v="5"/>
    <x v="6"/>
    <s v="M"/>
    <n v="2"/>
    <n v="16450"/>
    <n v="32900"/>
    <x v="1"/>
    <s v="Prueba"/>
  </r>
  <r>
    <x v="9"/>
    <s v="12.345.678-5"/>
    <x v="2"/>
    <s v="PRODUCCION SDC"/>
    <x v="5"/>
    <x v="6"/>
    <s v="M"/>
    <n v="2"/>
    <n v="16450"/>
    <n v="32900"/>
    <x v="1"/>
    <s v="Prueba"/>
  </r>
  <r>
    <x v="9"/>
    <s v="12.345.678-5"/>
    <x v="2"/>
    <s v="PRODUCCION SDC"/>
    <x v="6"/>
    <x v="7"/>
    <s v="M"/>
    <n v="2"/>
    <n v="24680"/>
    <n v="49360"/>
    <x v="1"/>
    <s v="Prueba"/>
  </r>
  <r>
    <x v="10"/>
    <s v="14.256.789-3"/>
    <x v="3"/>
    <s v="PRODUCCION SDC"/>
    <x v="6"/>
    <x v="8"/>
    <s v="M"/>
    <n v="1"/>
    <n v="24680"/>
    <n v="24680"/>
    <x v="1"/>
    <s v="Prueba"/>
  </r>
  <r>
    <x v="4"/>
    <s v="23.345.678-2"/>
    <x v="2"/>
    <s v="MANTENCION"/>
    <x v="1"/>
    <x v="2"/>
    <s v="M"/>
    <n v="1"/>
    <n v="27000"/>
    <n v="27000"/>
    <x v="0"/>
    <s v="Prueba"/>
  </r>
  <r>
    <x v="5"/>
    <s v="56.789.012-3"/>
    <x v="3"/>
    <s v="PRODUCCION SDC"/>
    <x v="1"/>
    <x v="2"/>
    <s v="M"/>
    <n v="1"/>
    <n v="27000"/>
    <n v="27000"/>
    <x v="0"/>
    <s v="Prueba"/>
  </r>
  <r>
    <x v="5"/>
    <s v="56.789.012-3"/>
    <x v="3"/>
    <s v="PRODUCCION SDC"/>
    <x v="1"/>
    <x v="2"/>
    <s v="M"/>
    <n v="1"/>
    <n v="27000"/>
    <n v="27000"/>
    <x v="0"/>
    <s v="Prueba"/>
  </r>
  <r>
    <x v="5"/>
    <s v="56.789.012-3"/>
    <x v="3"/>
    <s v="PRODUCCION SDC"/>
    <x v="2"/>
    <x v="3"/>
    <s v="L"/>
    <n v="1"/>
    <n v="38000"/>
    <n v="38000"/>
    <x v="0"/>
    <s v="Prueba"/>
  </r>
  <r>
    <x v="5"/>
    <s v="56.789.012-3"/>
    <x v="3"/>
    <s v="PRODUCCION SDC"/>
    <x v="3"/>
    <x v="4"/>
    <n v="35"/>
    <n v="1"/>
    <n v="8950"/>
    <n v="8950"/>
    <x v="0"/>
    <s v="Prueba"/>
  </r>
  <r>
    <x v="6"/>
    <s v="67.789.012-5"/>
    <x v="2"/>
    <s v="SUPPLY CHAIN"/>
    <x v="4"/>
    <x v="5"/>
    <n v="43"/>
    <n v="1"/>
    <n v="47790"/>
    <n v="47790"/>
    <x v="0"/>
    <s v="Prueba"/>
  </r>
  <r>
    <x v="7"/>
    <s v="45.678.901-7"/>
    <x v="1"/>
    <s v="PRODUCCION SDC"/>
    <x v="5"/>
    <x v="6"/>
    <s v="M"/>
    <n v="2"/>
    <n v="16450"/>
    <n v="32900"/>
    <x v="0"/>
    <s v="Prueba"/>
  </r>
  <r>
    <x v="2"/>
    <s v="89.012.345-0"/>
    <x v="1"/>
    <s v="PRODUCCION SDC"/>
    <x v="5"/>
    <x v="6"/>
    <s v="M"/>
    <n v="2"/>
    <n v="16450"/>
    <n v="32900"/>
    <x v="0"/>
    <s v="Prueba"/>
  </r>
  <r>
    <x v="8"/>
    <s v="67.894.123-6"/>
    <x v="0"/>
    <s v="PRODUCCION SDC"/>
    <x v="5"/>
    <x v="6"/>
    <s v="M"/>
    <n v="2"/>
    <n v="16450"/>
    <n v="32900"/>
    <x v="0"/>
    <s v="Prueba"/>
  </r>
  <r>
    <x v="9"/>
    <s v="12.345.678-5"/>
    <x v="2"/>
    <s v="PRODUCCION SDC"/>
    <x v="5"/>
    <x v="6"/>
    <s v="M"/>
    <n v="2"/>
    <n v="16450"/>
    <n v="32900"/>
    <x v="0"/>
    <s v="Prueba"/>
  </r>
  <r>
    <x v="9"/>
    <s v="12.345.678-5"/>
    <x v="2"/>
    <s v="PRODUCCION SDC"/>
    <x v="6"/>
    <x v="7"/>
    <s v="M"/>
    <n v="2"/>
    <n v="24680"/>
    <n v="49360"/>
    <x v="0"/>
    <s v="Prueba"/>
  </r>
  <r>
    <x v="10"/>
    <s v="14.256.789-3"/>
    <x v="3"/>
    <s v="PRODUCCION SDC"/>
    <x v="6"/>
    <x v="8"/>
    <s v="M"/>
    <n v="1"/>
    <n v="24680"/>
    <n v="24680"/>
    <x v="0"/>
    <s v="Prueb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TablaDinámica8" cacheId="0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 rowHeaderCaption="Producto">
  <location ref="F56:I73" firstHeaderRow="0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Row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axis="axisRow" showAll="0">
      <items count="30">
        <item x="3"/>
        <item m="1" x="25"/>
        <item m="1" x="21"/>
        <item x="4"/>
        <item m="1" x="22"/>
        <item m="1" x="27"/>
        <item m="1" x="24"/>
        <item m="1" x="11"/>
        <item x="6"/>
        <item m="1" x="26"/>
        <item m="1" x="19"/>
        <item m="1" x="17"/>
        <item x="5"/>
        <item x="2"/>
        <item m="1" x="14"/>
        <item m="1" x="16"/>
        <item m="1" x="9"/>
        <item m="1" x="15"/>
        <item m="1" x="18"/>
        <item m="1" x="23"/>
        <item m="1" x="20"/>
        <item m="1" x="28"/>
        <item m="1" x="12"/>
        <item m="1" x="13"/>
        <item x="7"/>
        <item m="1" x="10"/>
        <item x="8"/>
        <item x="0"/>
        <item x="1"/>
        <item t="default"/>
      </items>
    </pivotField>
    <pivotField showAll="0"/>
    <pivotField dataField="1" showAll="0"/>
    <pivotField showAll="0" defaultSubtotal="0"/>
    <pivotField dataField="1" showAll="0" defaultSubtotal="0"/>
    <pivotField showAll="0" defaultSubtotal="0"/>
    <pivotField showAll="0"/>
    <pivotField dataField="1" dragToRow="0" dragToCol="0" dragToPage="0" showAll="0" defaultSubtotal="0"/>
  </pivotFields>
  <rowFields count="2">
    <field x="4"/>
    <field x="5"/>
  </rowFields>
  <rowItems count="17">
    <i>
      <x v="27"/>
    </i>
    <i r="1">
      <x v="8"/>
    </i>
    <i>
      <x v="28"/>
    </i>
    <i r="1">
      <x v="24"/>
    </i>
    <i r="1">
      <x v="26"/>
    </i>
    <i>
      <x v="30"/>
    </i>
    <i r="1">
      <x v="12"/>
    </i>
    <i>
      <x v="31"/>
    </i>
    <i r="1">
      <x/>
    </i>
    <i>
      <x v="33"/>
    </i>
    <i r="1">
      <x v="3"/>
    </i>
    <i>
      <x v="34"/>
    </i>
    <i r="1">
      <x v="13"/>
    </i>
    <i>
      <x v="36"/>
    </i>
    <i r="1">
      <x v="27"/>
    </i>
    <i r="1"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ant." fld="7" baseField="4" baseItem="27" numFmtId="2"/>
    <dataField name="Precio" fld="12" baseField="4" baseItem="27"/>
    <dataField name="Total" fld="9" baseField="5" baseItem="7"/>
  </dataFields>
  <formats count="146">
    <format dxfId="145">
      <pivotArea grandRow="1" outline="0" collapsedLevelsAreSubtotals="1" fieldPosition="0"/>
    </format>
    <format dxfId="144">
      <pivotArea grandRow="1" outline="0" collapsedLevelsAreSubtotals="1" fieldPosition="0"/>
    </format>
    <format dxfId="143">
      <pivotArea collapsedLevelsAreSubtotals="1" fieldPosition="0">
        <references count="1">
          <reference field="4" count="1">
            <x v="27"/>
          </reference>
        </references>
      </pivotArea>
    </format>
    <format dxfId="142">
      <pivotArea collapsedLevelsAreSubtotals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141">
      <pivotArea collapsedLevelsAreSubtotals="1" fieldPosition="0">
        <references count="1">
          <reference field="4" count="1">
            <x v="28"/>
          </reference>
        </references>
      </pivotArea>
    </format>
    <format dxfId="140">
      <pivotArea collapsedLevelsAreSubtotals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139">
      <pivotArea collapsedLevelsAreSubtotals="1" fieldPosition="0">
        <references count="1">
          <reference field="4" count="1">
            <x v="29"/>
          </reference>
        </references>
      </pivotArea>
    </format>
    <format dxfId="138">
      <pivotArea collapsedLevelsAreSubtotals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137">
      <pivotArea collapsedLevelsAreSubtotals="1" fieldPosition="0">
        <references count="1">
          <reference field="4" count="1">
            <x v="30"/>
          </reference>
        </references>
      </pivotArea>
    </format>
    <format dxfId="136">
      <pivotArea collapsedLevelsAreSubtotals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135">
      <pivotArea collapsedLevelsAreSubtotals="1" fieldPosition="0">
        <references count="1">
          <reference field="4" count="1">
            <x v="31"/>
          </reference>
        </references>
      </pivotArea>
    </format>
    <format dxfId="134">
      <pivotArea collapsedLevelsAreSubtotals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133">
      <pivotArea collapsedLevelsAreSubtotals="1" fieldPosition="0">
        <references count="1">
          <reference field="4" count="1">
            <x v="32"/>
          </reference>
        </references>
      </pivotArea>
    </format>
    <format dxfId="132">
      <pivotArea collapsedLevelsAreSubtotals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131">
      <pivotArea collapsedLevelsAreSubtotals="1" fieldPosition="0">
        <references count="1">
          <reference field="4" count="1">
            <x v="33"/>
          </reference>
        </references>
      </pivotArea>
    </format>
    <format dxfId="130">
      <pivotArea collapsedLevelsAreSubtotals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129">
      <pivotArea collapsedLevelsAreSubtotals="1" fieldPosition="0">
        <references count="1">
          <reference field="4" count="1">
            <x v="34"/>
          </reference>
        </references>
      </pivotArea>
    </format>
    <format dxfId="128">
      <pivotArea collapsedLevelsAreSubtotals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127">
      <pivotArea field="4" type="button" dataOnly="0" labelOnly="1" outline="0" axis="axisRow" fieldPosition="0"/>
    </format>
    <format dxfId="126">
      <pivotArea collapsedLevelsAreSubtotals="1" fieldPosition="0">
        <references count="1">
          <reference field="4" count="1">
            <x v="27"/>
          </reference>
        </references>
      </pivotArea>
    </format>
    <format dxfId="125">
      <pivotArea collapsedLevelsAreSubtotals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124">
      <pivotArea collapsedLevelsAreSubtotals="1" fieldPosition="0">
        <references count="1">
          <reference field="4" count="1">
            <x v="28"/>
          </reference>
        </references>
      </pivotArea>
    </format>
    <format dxfId="123">
      <pivotArea collapsedLevelsAreSubtotals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122">
      <pivotArea collapsedLevelsAreSubtotals="1" fieldPosition="0">
        <references count="1">
          <reference field="4" count="1">
            <x v="29"/>
          </reference>
        </references>
      </pivotArea>
    </format>
    <format dxfId="121">
      <pivotArea collapsedLevelsAreSubtotals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120">
      <pivotArea collapsedLevelsAreSubtotals="1" fieldPosition="0">
        <references count="1">
          <reference field="4" count="1">
            <x v="30"/>
          </reference>
        </references>
      </pivotArea>
    </format>
    <format dxfId="119">
      <pivotArea collapsedLevelsAreSubtotals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118">
      <pivotArea collapsedLevelsAreSubtotals="1" fieldPosition="0">
        <references count="1">
          <reference field="4" count="1">
            <x v="31"/>
          </reference>
        </references>
      </pivotArea>
    </format>
    <format dxfId="117">
      <pivotArea collapsedLevelsAreSubtotals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116">
      <pivotArea collapsedLevelsAreSubtotals="1" fieldPosition="0">
        <references count="1">
          <reference field="4" count="1">
            <x v="32"/>
          </reference>
        </references>
      </pivotArea>
    </format>
    <format dxfId="115">
      <pivotArea field="4" type="button" dataOnly="0" labelOnly="1" outline="0" axis="axisRow" fieldPosition="0"/>
    </format>
    <format dxfId="114">
      <pivotArea dataOnly="0" labelOnly="1" fieldPosition="0">
        <references count="1">
          <reference field="4" count="6">
            <x v="27"/>
            <x v="28"/>
            <x v="29"/>
            <x v="30"/>
            <x v="31"/>
            <x v="32"/>
          </reference>
        </references>
      </pivotArea>
    </format>
    <format dxfId="113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112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111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110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109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108">
      <pivotArea collapsedLevelsAreSubtotals="1" fieldPosition="0">
        <references count="2">
          <reference field="4" count="1" selected="0">
            <x v="31"/>
          </reference>
          <reference field="5" count="1">
            <x v="0"/>
          </reference>
        </references>
      </pivotArea>
    </format>
    <format dxfId="107">
      <pivotArea collapsedLevelsAreSubtotals="1" fieldPosition="0">
        <references count="1">
          <reference field="4" count="1">
            <x v="32"/>
          </reference>
        </references>
      </pivotArea>
    </format>
    <format dxfId="106">
      <pivotArea collapsedLevelsAreSubtotals="1" fieldPosition="0">
        <references count="2">
          <reference field="4" count="1" selected="0">
            <x v="32"/>
          </reference>
          <reference field="5" count="1">
            <x v="20"/>
          </reference>
        </references>
      </pivotArea>
    </format>
    <format dxfId="105">
      <pivotArea collapsedLevelsAreSubtotals="1" fieldPosition="0">
        <references count="1">
          <reference field="4" count="1">
            <x v="33"/>
          </reference>
        </references>
      </pivotArea>
    </format>
    <format dxfId="104">
      <pivotArea collapsedLevelsAreSubtotals="1" fieldPosition="0">
        <references count="2">
          <reference field="4" count="1" selected="0">
            <x v="33"/>
          </reference>
          <reference field="5" count="1">
            <x v="2"/>
          </reference>
        </references>
      </pivotArea>
    </format>
    <format dxfId="103">
      <pivotArea grandRow="1" outline="0" collapsedLevelsAreSubtotals="1" fieldPosition="0"/>
    </format>
    <format dxfId="102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101">
      <pivotArea dataOnly="0" labelOnly="1" grandRow="1" outline="0" fieldPosition="0"/>
    </format>
    <format dxfId="100">
      <pivotArea dataOnly="0" labelOnly="1" fieldPosition="0">
        <references count="2">
          <reference field="4" count="1" selected="0">
            <x v="31"/>
          </reference>
          <reference field="5" count="1">
            <x v="0"/>
          </reference>
        </references>
      </pivotArea>
    </format>
    <format dxfId="99">
      <pivotArea dataOnly="0" labelOnly="1" fieldPosition="0">
        <references count="2">
          <reference field="4" count="1" selected="0">
            <x v="32"/>
          </reference>
          <reference field="5" count="1">
            <x v="20"/>
          </reference>
        </references>
      </pivotArea>
    </format>
    <format dxfId="98">
      <pivotArea dataOnly="0" labelOnly="1" fieldPosition="0">
        <references count="2">
          <reference field="4" count="1" selected="0">
            <x v="33"/>
          </reference>
          <reference field="5" count="1">
            <x v="2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4" type="button" dataOnly="0" labelOnly="1" outline="0" axis="axisRow" fieldPosition="0"/>
    </format>
    <format dxfId="94">
      <pivotArea dataOnly="0" labelOnly="1" fieldPosition="0">
        <references count="1">
          <reference field="4" count="3">
            <x v="28"/>
            <x v="29"/>
            <x v="30"/>
          </reference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4" count="1" selected="0">
            <x v="28"/>
          </reference>
          <reference field="5" count="2">
            <x v="22"/>
            <x v="23"/>
          </reference>
        </references>
      </pivotArea>
    </format>
    <format dxfId="91">
      <pivotArea dataOnly="0" labelOnly="1" fieldPosition="0">
        <references count="2">
          <reference field="4" count="1" selected="0">
            <x v="29"/>
          </reference>
          <reference field="5" count="2">
            <x v="15"/>
            <x v="16"/>
          </reference>
        </references>
      </pivotArea>
    </format>
    <format dxfId="90">
      <pivotArea dataOnly="0" labelOnly="1" fieldPosition="0">
        <references count="2">
          <reference field="4" count="1" selected="0">
            <x v="30"/>
          </reference>
          <reference field="5" count="1">
            <x v="12"/>
          </reference>
        </references>
      </pivotArea>
    </format>
    <format dxfId="89">
      <pivotArea field="4" type="button" dataOnly="0" labelOnly="1" outline="0" axis="axisRow" fieldPosition="0"/>
    </format>
    <format dxfId="88">
      <pivotArea field="4" type="button" dataOnly="0" labelOnly="1" outline="0" axis="axisRow" fieldPosition="0"/>
    </format>
    <format dxfId="87">
      <pivotArea field="4" type="button" dataOnly="0" labelOnly="1" outline="0" axis="axisRow" fieldPosition="0"/>
    </format>
    <format dxfId="86">
      <pivotArea dataOnly="0" labelOnly="1" fieldPosition="0">
        <references count="1">
          <reference field="4" count="1">
            <x v="27"/>
          </reference>
        </references>
      </pivotArea>
    </format>
    <format dxfId="85">
      <pivotArea dataOnly="0" labelOnly="1" fieldPosition="0">
        <references count="1">
          <reference field="4" count="1">
            <x v="28"/>
          </reference>
        </references>
      </pivotArea>
    </format>
    <format dxfId="84">
      <pivotArea field="4" type="button" dataOnly="0" labelOnly="1" outline="0" axis="axisRow" fieldPosition="0"/>
    </format>
    <format dxfId="83">
      <pivotArea dataOnly="0" labelOnly="1" fieldPosition="0">
        <references count="1">
          <reference field="4" count="0"/>
        </references>
      </pivotArea>
    </format>
    <format dxfId="82">
      <pivotArea dataOnly="0" labelOnly="1" grandRow="1" outline="0" fieldPosition="0"/>
    </format>
    <format dxfId="81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80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79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78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77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76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75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74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73">
      <pivotArea field="4" type="button" dataOnly="0" labelOnly="1" outline="0" axis="axisRow" fieldPosition="0"/>
    </format>
    <format dxfId="72">
      <pivotArea dataOnly="0" labelOnly="1" fieldPosition="0">
        <references count="1">
          <reference field="4" count="0"/>
        </references>
      </pivotArea>
    </format>
    <format dxfId="71">
      <pivotArea dataOnly="0" labelOnly="1" grandRow="1" outline="0" fieldPosition="0"/>
    </format>
    <format dxfId="70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69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68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67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66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65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64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63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62">
      <pivotArea field="4" type="button" dataOnly="0" labelOnly="1" outline="0" axis="axisRow" fieldPosition="0"/>
    </format>
    <format dxfId="61">
      <pivotArea dataOnly="0" labelOnly="1" fieldPosition="0">
        <references count="1">
          <reference field="4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58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57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56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55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53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52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51">
      <pivotArea field="4" type="button" dataOnly="0" labelOnly="1" outline="0" axis="axisRow" fieldPosition="0"/>
    </format>
    <format dxfId="50">
      <pivotArea dataOnly="0" labelOnly="1" fieldPosition="0">
        <references count="1">
          <reference field="4" count="0"/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47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46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45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44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43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42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41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4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34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33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32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31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30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29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22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21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20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19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18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17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field="4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7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6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5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4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3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2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1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9">
  <location ref="N4:O12" firstHeaderRow="1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Row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showAll="0"/>
    <pivotField showAll="0"/>
    <pivotField showAll="0"/>
    <pivotField showAll="0" defaultSubtotal="0"/>
    <pivotField dataField="1" showAll="0" defaultSubtotal="0"/>
    <pivotField showAll="0" defaultSubtotal="0">
      <items count="3">
        <item x="0"/>
        <item h="1" x="1"/>
        <item h="1" m="1" x="2"/>
      </items>
    </pivotField>
    <pivotField showAll="0"/>
    <pivotField dragToRow="0" dragToCol="0" dragToPage="0" showAll="0" defaultSubtotal="0"/>
  </pivotFields>
  <rowFields count="1">
    <field x="4"/>
  </rowFields>
  <rowItems count="8">
    <i>
      <x v="27"/>
    </i>
    <i>
      <x v="28"/>
    </i>
    <i>
      <x v="30"/>
    </i>
    <i>
      <x v="31"/>
    </i>
    <i>
      <x v="33"/>
    </i>
    <i>
      <x v="34"/>
    </i>
    <i>
      <x v="36"/>
    </i>
    <i t="grand">
      <x/>
    </i>
  </rowItems>
  <colItems count="1">
    <i/>
  </colItems>
  <dataFields count="1">
    <dataField name="Suma de Costo Total" fld="9" baseField="0" baseItem="0"/>
  </dataFields>
  <formats count="6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4" type="button" dataOnly="0" labelOnly="1" outline="0" axis="axisRow" fieldPosition="0"/>
    </format>
    <format dxfId="148">
      <pivotArea dataOnly="0" labelOnly="1" fieldPosition="0">
        <references count="1">
          <reference field="4" count="0"/>
        </references>
      </pivotArea>
    </format>
    <format dxfId="147">
      <pivotArea dataOnly="0" labelOnly="1" grandRow="1" outline="0" fieldPosition="0"/>
    </format>
    <format dxfId="146">
      <pivotArea dataOnly="0" labelOnly="1" outline="0" axis="axisValues" fieldPosition="0"/>
    </format>
  </formats>
  <chartFormats count="1">
    <chartFormat chart="4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>
  <location ref="B15:B16" firstHeaderRow="1" firstDataRow="1" firstDataCol="0" rowPageCount="1" colPageCount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Page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showAll="0"/>
    <pivotField showAll="0"/>
    <pivotField showAll="0"/>
    <pivotField showAll="0" defaultSubtotal="0"/>
    <pivotField dataField="1" showAll="0" defaultSubtotal="0"/>
    <pivotField showAll="0" defaultSubtotal="0">
      <items count="3">
        <item x="0"/>
        <item h="1" x="1"/>
        <item h="1" m="1" x="2"/>
      </items>
    </pivotField>
    <pivotField showAll="0"/>
    <pivotField dragToRow="0" dragToCol="0" dragToPage="0" showAll="0" defaultSubtotal="0"/>
  </pivotFields>
  <rowItems count="1">
    <i/>
  </rowItems>
  <colItems count="1">
    <i/>
  </colItems>
  <pageFields count="1">
    <pageField fld="4" hier="-1"/>
  </pageFields>
  <dataFields count="1">
    <dataField name="Suma de Costo Total" fld="9" baseField="0" baseItem="0"/>
  </dataFields>
  <formats count="10">
    <format dxfId="161">
      <pivotArea outline="0" collapsedLevelsAreSubtotals="1" fieldPosition="0"/>
    </format>
    <format dxfId="160">
      <pivotArea outline="0" collapsedLevelsAreSubtotals="1" fieldPosition="0"/>
    </format>
    <format dxfId="159">
      <pivotArea outline="0" collapsedLevelsAreSubtotals="1" fieldPosition="0"/>
    </format>
    <format dxfId="158">
      <pivotArea outline="0" collapsedLevelsAreSubtotals="1" fieldPosition="0"/>
    </format>
    <format dxfId="157">
      <pivotArea outline="0" collapsedLevelsAreSubtotals="1" fieldPosition="0"/>
    </format>
    <format dxfId="156">
      <pivotArea outline="0" collapsedLevelsAreSubtotals="1" fieldPosition="0"/>
    </format>
    <format dxfId="155">
      <pivotArea outline="0" collapsedLevelsAreSubtotals="1" fieldPosition="0"/>
    </format>
    <format dxfId="154">
      <pivotArea outline="0" collapsedLevelsAreSubtotals="1" fieldPosition="0"/>
    </format>
    <format dxfId="153">
      <pivotArea outline="0" collapsedLevelsAreSubtotals="1" fieldPosition="0"/>
    </format>
    <format dxfId="15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5">
  <location ref="H4:J21" firstHeaderRow="0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Row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axis="axisRow" showAll="0">
      <items count="30">
        <item x="3"/>
        <item m="1" x="25"/>
        <item m="1" x="21"/>
        <item x="4"/>
        <item m="1" x="22"/>
        <item m="1" x="27"/>
        <item m="1" x="24"/>
        <item m="1" x="11"/>
        <item x="6"/>
        <item m="1" x="26"/>
        <item m="1" x="19"/>
        <item m="1" x="17"/>
        <item x="5"/>
        <item x="2"/>
        <item m="1" x="14"/>
        <item m="1" x="16"/>
        <item m="1" x="9"/>
        <item m="1" x="15"/>
        <item m="1" x="18"/>
        <item m="1" x="23"/>
        <item m="1" x="20"/>
        <item m="1" x="28"/>
        <item m="1" x="12"/>
        <item m="1" x="13"/>
        <item x="7"/>
        <item m="1" x="10"/>
        <item x="8"/>
        <item x="0"/>
        <item x="1"/>
        <item t="default"/>
      </items>
    </pivotField>
    <pivotField showAll="0"/>
    <pivotField showAll="0"/>
    <pivotField showAll="0" defaultSubtotal="0"/>
    <pivotField dataField="1" showAll="0" defaultSubtotal="0"/>
    <pivotField showAll="0" defaultSubtotal="0">
      <items count="3">
        <item x="0"/>
        <item h="1" x="1"/>
        <item h="1" m="1" x="2"/>
      </items>
    </pivotField>
    <pivotField showAll="0"/>
    <pivotField dataField="1" dragToRow="0" dragToCol="0" dragToPage="0" showAll="0" defaultSubtotal="0"/>
  </pivotFields>
  <rowFields count="2">
    <field x="4"/>
    <field x="5"/>
  </rowFields>
  <rowItems count="17">
    <i>
      <x v="27"/>
    </i>
    <i r="1">
      <x v="8"/>
    </i>
    <i>
      <x v="28"/>
    </i>
    <i r="1">
      <x v="24"/>
    </i>
    <i r="1">
      <x v="26"/>
    </i>
    <i>
      <x v="30"/>
    </i>
    <i r="1">
      <x v="12"/>
    </i>
    <i>
      <x v="31"/>
    </i>
    <i r="1">
      <x/>
    </i>
    <i>
      <x v="33"/>
    </i>
    <i r="1">
      <x v="3"/>
    </i>
    <i>
      <x v="34"/>
    </i>
    <i r="1">
      <x v="13"/>
    </i>
    <i>
      <x v="36"/>
    </i>
    <i r="1">
      <x v="27"/>
    </i>
    <i r="1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Costo Total" fld="9" baseField="0" baseItem="0"/>
    <dataField name="Suma de Previo Unidad " fld="12" baseField="0" baseItem="0"/>
  </dataFields>
  <formats count="14">
    <format dxfId="175">
      <pivotArea type="all" dataOnly="0" outline="0" fieldPosition="0"/>
    </format>
    <format dxfId="174">
      <pivotArea outline="0" collapsedLevelsAreSubtotals="1" fieldPosition="0"/>
    </format>
    <format dxfId="173">
      <pivotArea field="4" type="button" dataOnly="0" labelOnly="1" outline="0" axis="axisRow" fieldPosition="0"/>
    </format>
    <format dxfId="172">
      <pivotArea dataOnly="0" labelOnly="1" fieldPosition="0">
        <references count="1">
          <reference field="4" count="0"/>
        </references>
      </pivotArea>
    </format>
    <format dxfId="171">
      <pivotArea dataOnly="0" labelOnly="1" grandRow="1" outline="0" fieldPosition="0"/>
    </format>
    <format dxfId="170">
      <pivotArea dataOnly="0" labelOnly="1" fieldPosition="0">
        <references count="2">
          <reference field="4" count="1" selected="0">
            <x v="27"/>
          </reference>
          <reference field="5" count="2">
            <x v="7"/>
            <x v="8"/>
          </reference>
        </references>
      </pivotArea>
    </format>
    <format dxfId="169">
      <pivotArea dataOnly="0" labelOnly="1" fieldPosition="0">
        <references count="2">
          <reference field="4" count="1" selected="0">
            <x v="28"/>
          </reference>
          <reference field="5" count="3">
            <x v="22"/>
            <x v="23"/>
            <x v="24"/>
          </reference>
        </references>
      </pivotArea>
    </format>
    <format dxfId="168">
      <pivotArea dataOnly="0" labelOnly="1" fieldPosition="0">
        <references count="2">
          <reference field="4" count="1" selected="0">
            <x v="29"/>
          </reference>
          <reference field="5" count="4">
            <x v="14"/>
            <x v="15"/>
            <x v="16"/>
            <x v="17"/>
          </reference>
        </references>
      </pivotArea>
    </format>
    <format dxfId="167">
      <pivotArea dataOnly="0" labelOnly="1" fieldPosition="0">
        <references count="2">
          <reference field="4" count="1" selected="0">
            <x v="30"/>
          </reference>
          <reference field="5" count="4">
            <x v="5"/>
            <x v="11"/>
            <x v="12"/>
            <x v="18"/>
          </reference>
        </references>
      </pivotArea>
    </format>
    <format dxfId="166">
      <pivotArea dataOnly="0" labelOnly="1" fieldPosition="0">
        <references count="2">
          <reference field="4" count="1" selected="0">
            <x v="31"/>
          </reference>
          <reference field="5" count="2">
            <x v="0"/>
            <x v="10"/>
          </reference>
        </references>
      </pivotArea>
    </format>
    <format dxfId="165">
      <pivotArea dataOnly="0" labelOnly="1" fieldPosition="0">
        <references count="2">
          <reference field="4" count="1" selected="0">
            <x v="32"/>
          </reference>
          <reference field="5" count="5">
            <x v="1"/>
            <x v="6"/>
            <x v="19"/>
            <x v="20"/>
            <x v="21"/>
          </reference>
        </references>
      </pivotArea>
    </format>
    <format dxfId="164">
      <pivotArea dataOnly="0" labelOnly="1" fieldPosition="0">
        <references count="2">
          <reference field="4" count="1" selected="0">
            <x v="33"/>
          </reference>
          <reference field="5" count="3">
            <x v="2"/>
            <x v="3"/>
            <x v="4"/>
          </reference>
        </references>
      </pivotArea>
    </format>
    <format dxfId="163">
      <pivotArea dataOnly="0" labelOnly="1" fieldPosition="0">
        <references count="2">
          <reference field="4" count="1" selected="0">
            <x v="34"/>
          </reference>
          <reference field="5" count="2">
            <x v="9"/>
            <x v="13"/>
          </reference>
        </references>
      </pivotArea>
    </format>
    <format dxfId="16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0">
  <location ref="E4:F21" firstHeaderRow="1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Row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axis="axisRow" showAll="0">
      <items count="30">
        <item x="3"/>
        <item m="1" x="25"/>
        <item m="1" x="21"/>
        <item x="4"/>
        <item m="1" x="22"/>
        <item m="1" x="27"/>
        <item m="1" x="24"/>
        <item m="1" x="11"/>
        <item x="6"/>
        <item m="1" x="26"/>
        <item m="1" x="19"/>
        <item m="1" x="17"/>
        <item x="5"/>
        <item x="2"/>
        <item m="1" x="14"/>
        <item m="1" x="16"/>
        <item m="1" x="9"/>
        <item m="1" x="15"/>
        <item m="1" x="18"/>
        <item m="1" x="23"/>
        <item m="1" x="20"/>
        <item m="1" x="28"/>
        <item m="1" x="12"/>
        <item m="1" x="13"/>
        <item x="7"/>
        <item m="1" x="10"/>
        <item x="8"/>
        <item x="0"/>
        <item x="1"/>
        <item t="default"/>
      </items>
    </pivotField>
    <pivotField showAll="0"/>
    <pivotField dataField="1" showAll="0"/>
    <pivotField showAll="0" defaultSubtotal="0"/>
    <pivotField showAll="0" defaultSubtotal="0"/>
    <pivotField showAll="0" defaultSubtotal="0"/>
    <pivotField showAll="0"/>
    <pivotField dragToRow="0" dragToCol="0" dragToPage="0" showAll="0" defaultSubtotal="0"/>
  </pivotFields>
  <rowFields count="2">
    <field x="4"/>
    <field x="5"/>
  </rowFields>
  <rowItems count="17">
    <i>
      <x v="27"/>
    </i>
    <i r="1">
      <x v="8"/>
    </i>
    <i>
      <x v="28"/>
    </i>
    <i r="1">
      <x v="24"/>
    </i>
    <i r="1">
      <x v="26"/>
    </i>
    <i>
      <x v="30"/>
    </i>
    <i r="1">
      <x v="12"/>
    </i>
    <i>
      <x v="31"/>
    </i>
    <i r="1">
      <x/>
    </i>
    <i>
      <x v="33"/>
    </i>
    <i r="1">
      <x v="3"/>
    </i>
    <i>
      <x v="34"/>
    </i>
    <i r="1">
      <x v="13"/>
    </i>
    <i>
      <x v="36"/>
    </i>
    <i r="1">
      <x v="27"/>
    </i>
    <i r="1">
      <x v="28"/>
    </i>
    <i t="grand">
      <x/>
    </i>
  </rowItems>
  <colItems count="1">
    <i/>
  </colItems>
  <dataFields count="1">
    <dataField name="Suma de Cantidad" fld="7" baseField="0" baseItem="0"/>
  </dataFields>
  <chartFormats count="3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34"/>
          </reference>
          <reference field="5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">
  <location ref="B6:B7" firstHeaderRow="1" firstDataRow="1" firstDataCol="0" rowPageCount="1" colPageCount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Page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showAll="0"/>
    <pivotField showAll="0"/>
    <pivotField dataField="1" showAll="0"/>
    <pivotField showAll="0" defaultSubtotal="0"/>
    <pivotField showAll="0" defaultSubtotal="0"/>
    <pivotField showAll="0" defaultSubtotal="0">
      <items count="3">
        <item x="0"/>
        <item h="1" x="1"/>
        <item h="1" m="1" x="2"/>
      </items>
    </pivotField>
    <pivotField showAll="0"/>
    <pivotField dragToRow="0" dragToCol="0" dragToPage="0" showAll="0" defaultSubtotal="0"/>
  </pivotFields>
  <rowItems count="1">
    <i/>
  </rowItems>
  <colItems count="1">
    <i/>
  </colItems>
  <pageFields count="1">
    <pageField fld="4" hier="-1"/>
  </pageFields>
  <dataFields count="1">
    <dataField name="Suma de Cantidad" fld="7" baseField="0" baseItem="0"/>
  </dataFields>
  <formats count="10">
    <format dxfId="185">
      <pivotArea outline="0" collapsedLevelsAreSubtotals="1" fieldPosition="0"/>
    </format>
    <format dxfId="184">
      <pivotArea outline="0" collapsedLevelsAreSubtotals="1" fieldPosition="0"/>
    </format>
    <format dxfId="183">
      <pivotArea outline="0" collapsedLevelsAreSubtotals="1" fieldPosition="0"/>
    </format>
    <format dxfId="182">
      <pivotArea outline="0" collapsedLevelsAreSubtotals="1" fieldPosition="0"/>
    </format>
    <format dxfId="181">
      <pivotArea outline="0" collapsedLevelsAreSubtotals="1" fieldPosition="0"/>
    </format>
    <format dxfId="180">
      <pivotArea outline="0" collapsedLevelsAreSubtotals="1" fieldPosition="0"/>
    </format>
    <format dxfId="179">
      <pivotArea outline="0" collapsedLevelsAreSubtotals="1" fieldPosition="0"/>
    </format>
    <format dxfId="178">
      <pivotArea outline="0" collapsedLevelsAreSubtotals="1" fieldPosition="0"/>
    </format>
    <format dxfId="177">
      <pivotArea outline="0" collapsedLevelsAreSubtotals="1" fieldPosition="0"/>
    </format>
    <format dxfId="1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52">
  <location ref="K4:L12" firstHeaderRow="1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axis="axisRow" showAll="0">
      <items count="38">
        <item m="1" x="25"/>
        <item m="1" x="13"/>
        <item m="1" x="32"/>
        <item m="1" x="22"/>
        <item m="1" x="36"/>
        <item m="1" x="20"/>
        <item m="1" x="18"/>
        <item m="1" x="19"/>
        <item m="1" x="17"/>
        <item m="1" x="14"/>
        <item m="1" x="30"/>
        <item m="1" x="31"/>
        <item m="1" x="33"/>
        <item m="1" x="34"/>
        <item m="1" x="15"/>
        <item m="1" x="21"/>
        <item m="1" x="23"/>
        <item m="1" x="27"/>
        <item m="1" x="24"/>
        <item m="1" x="26"/>
        <item m="1" x="35"/>
        <item m="1" x="10"/>
        <item m="1" x="16"/>
        <item m="1" x="12"/>
        <item m="1" x="11"/>
        <item m="1" x="29"/>
        <item m="1" x="28"/>
        <item x="5"/>
        <item x="6"/>
        <item m="1" x="7"/>
        <item x="4"/>
        <item x="2"/>
        <item m="1" x="9"/>
        <item x="3"/>
        <item x="1"/>
        <item m="1" x="8"/>
        <item x="0"/>
        <item t="default"/>
      </items>
    </pivotField>
    <pivotField showAll="0"/>
    <pivotField showAll="0"/>
    <pivotField dataField="1" showAll="0"/>
    <pivotField showAll="0" defaultSubtotal="0"/>
    <pivotField showAll="0" defaultSubtotal="0"/>
    <pivotField showAll="0" defaultSubtotal="0">
      <items count="3">
        <item x="0"/>
        <item h="1" x="1"/>
        <item h="1" m="1" x="2"/>
      </items>
    </pivotField>
    <pivotField showAll="0"/>
    <pivotField dragToRow="0" dragToCol="0" dragToPage="0" showAll="0" defaultSubtotal="0"/>
  </pivotFields>
  <rowFields count="1">
    <field x="4"/>
  </rowFields>
  <rowItems count="8">
    <i>
      <x v="27"/>
    </i>
    <i>
      <x v="28"/>
    </i>
    <i>
      <x v="30"/>
    </i>
    <i>
      <x v="31"/>
    </i>
    <i>
      <x v="33"/>
    </i>
    <i>
      <x v="34"/>
    </i>
    <i>
      <x v="36"/>
    </i>
    <i t="grand">
      <x/>
    </i>
  </rowItems>
  <colItems count="1">
    <i/>
  </colItems>
  <dataFields count="1">
    <dataField name="Suma de Cantidad" fld="7" baseField="0" baseItem="0" numFmtId="2"/>
  </dataFields>
  <formats count="9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4" type="button" dataOnly="0" labelOnly="1" outline="0" axis="axisRow" fieldPosition="0"/>
    </format>
    <format dxfId="191">
      <pivotArea dataOnly="0" labelOnly="1" fieldPosition="0">
        <references count="1">
          <reference field="4" count="0"/>
        </references>
      </pivotArea>
    </format>
    <format dxfId="190">
      <pivotArea dataOnly="0" labelOnly="1" grandRow="1" outline="0" fieldPosition="0"/>
    </format>
    <format dxfId="189">
      <pivotArea dataOnly="0" labelOnly="1" outline="0" axis="axisValues" fieldPosition="0"/>
    </format>
    <format dxfId="188">
      <pivotArea outline="0" collapsedLevelsAreSubtotals="1" fieldPosition="0"/>
    </format>
    <format dxfId="187">
      <pivotArea dataOnly="0" labelOnly="1" outline="0" axis="axisValues" fieldPosition="0"/>
    </format>
    <format dxfId="186">
      <pivotArea dataOnly="0" labelOnly="1" outline="0" axis="axisValues" fieldPosition="0"/>
    </format>
  </formats>
  <chartFormats count="14">
    <chartFormat chart="4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51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51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51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51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51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51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51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51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">
  <location ref="B25:C28" firstHeaderRow="1" firstDataRow="1" firstDataCol="1"/>
  <pivotFields count="13">
    <pivotField showAll="0">
      <items count="149">
        <item m="1" x="14"/>
        <item m="1" x="15"/>
        <item m="1" x="37"/>
        <item m="1" x="38"/>
        <item m="1" x="39"/>
        <item m="1" x="147"/>
        <item m="1" x="117"/>
        <item m="1" x="40"/>
        <item m="1" x="41"/>
        <item m="1" x="42"/>
        <item m="1" x="43"/>
        <item m="1" x="118"/>
        <item m="1" x="119"/>
        <item m="1" x="12"/>
        <item m="1" x="44"/>
        <item m="1" x="146"/>
        <item m="1" x="16"/>
        <item m="1" x="45"/>
        <item m="1" x="46"/>
        <item m="1" x="47"/>
        <item m="1" x="17"/>
        <item m="1" x="48"/>
        <item m="1" x="49"/>
        <item m="1" x="50"/>
        <item m="1" x="51"/>
        <item m="1" x="52"/>
        <item m="1" x="53"/>
        <item m="1" x="18"/>
        <item x="10"/>
        <item m="1" x="120"/>
        <item m="1" x="121"/>
        <item m="1" x="145"/>
        <item m="1" x="11"/>
        <item m="1" x="54"/>
        <item m="1" x="19"/>
        <item m="1" x="55"/>
        <item m="1" x="122"/>
        <item m="1" x="20"/>
        <item m="1" x="21"/>
        <item m="1" x="56"/>
        <item m="1" x="57"/>
        <item m="1" x="58"/>
        <item m="1" x="59"/>
        <item x="8"/>
        <item m="1" x="60"/>
        <item m="1" x="22"/>
        <item m="1" x="61"/>
        <item m="1" x="62"/>
        <item m="1" x="23"/>
        <item m="1" x="63"/>
        <item m="1" x="123"/>
        <item m="1" x="64"/>
        <item m="1" x="65"/>
        <item m="1" x="66"/>
        <item m="1" x="24"/>
        <item m="1" x="67"/>
        <item m="1" x="25"/>
        <item m="1" x="68"/>
        <item m="1" x="26"/>
        <item m="1" x="69"/>
        <item m="1" x="70"/>
        <item m="1" x="71"/>
        <item m="1" x="72"/>
        <item m="1" x="124"/>
        <item m="1" x="73"/>
        <item m="1" x="74"/>
        <item m="1" x="125"/>
        <item m="1" x="126"/>
        <item m="1" x="75"/>
        <item m="1" x="76"/>
        <item m="1" x="127"/>
        <item m="1" x="77"/>
        <item m="1" x="78"/>
        <item m="1" x="139"/>
        <item x="6"/>
        <item m="1" x="27"/>
        <item m="1" x="79"/>
        <item m="1" x="80"/>
        <item m="1" x="81"/>
        <item m="1" x="82"/>
        <item m="1" x="128"/>
        <item m="1" x="83"/>
        <item x="7"/>
        <item m="1" x="84"/>
        <item m="1" x="85"/>
        <item m="1" x="86"/>
        <item m="1" x="87"/>
        <item x="9"/>
        <item m="1" x="129"/>
        <item m="1" x="130"/>
        <item m="1" x="131"/>
        <item m="1" x="88"/>
        <item x="4"/>
        <item m="1" x="28"/>
        <item m="1" x="89"/>
        <item m="1" x="29"/>
        <item m="1" x="132"/>
        <item m="1" x="90"/>
        <item m="1" x="91"/>
        <item m="1" x="92"/>
        <item x="0"/>
        <item m="1" x="93"/>
        <item m="1" x="94"/>
        <item m="1" x="133"/>
        <item x="2"/>
        <item m="1" x="144"/>
        <item m="1" x="30"/>
        <item m="1" x="95"/>
        <item m="1" x="96"/>
        <item m="1" x="31"/>
        <item m="1" x="32"/>
        <item m="1" x="33"/>
        <item m="1" x="143"/>
        <item m="1" x="97"/>
        <item m="1" x="98"/>
        <item m="1" x="140"/>
        <item m="1" x="99"/>
        <item m="1" x="34"/>
        <item m="1" x="100"/>
        <item m="1" x="101"/>
        <item m="1" x="102"/>
        <item m="1" x="134"/>
        <item m="1" x="103"/>
        <item m="1" x="104"/>
        <item x="3"/>
        <item m="1" x="135"/>
        <item x="1"/>
        <item m="1" x="105"/>
        <item m="1" x="106"/>
        <item m="1" x="107"/>
        <item m="1" x="136"/>
        <item m="1" x="137"/>
        <item m="1" x="108"/>
        <item m="1" x="109"/>
        <item m="1" x="110"/>
        <item m="1" x="111"/>
        <item m="1" x="35"/>
        <item m="1" x="138"/>
        <item m="1" x="112"/>
        <item x="5"/>
        <item m="1" x="113"/>
        <item m="1" x="114"/>
        <item m="1" x="142"/>
        <item m="1" x="115"/>
        <item m="1" x="36"/>
        <item m="1" x="141"/>
        <item m="1" x="116"/>
        <item m="1" x="13"/>
        <item t="default"/>
      </items>
    </pivotField>
    <pivotField showAll="0"/>
    <pivotField showAll="0">
      <items count="6">
        <item m="1" x="4"/>
        <item x="1"/>
        <item x="0"/>
        <item x="2"/>
        <item x="3"/>
        <item t="default"/>
      </items>
    </pivotField>
    <pivotField showAll="0"/>
    <pivotField showAll="0">
      <items count="38">
        <item m="1" x="25"/>
        <item m="1" x="13"/>
        <item x="3"/>
        <item m="1" x="32"/>
        <item m="1" x="22"/>
        <item m="1" x="36"/>
        <item m="1" x="20"/>
        <item m="1" x="18"/>
        <item x="5"/>
        <item m="1" x="19"/>
        <item m="1" x="17"/>
        <item m="1" x="14"/>
        <item x="0"/>
        <item m="1" x="9"/>
        <item m="1" x="30"/>
        <item m="1" x="31"/>
        <item x="2"/>
        <item m="1" x="33"/>
        <item m="1" x="34"/>
        <item m="1" x="15"/>
        <item m="1" x="21"/>
        <item m="1" x="23"/>
        <item m="1" x="27"/>
        <item m="1" x="24"/>
        <item m="1" x="7"/>
        <item m="1" x="26"/>
        <item m="1" x="35"/>
        <item x="6"/>
        <item m="1" x="10"/>
        <item m="1" x="16"/>
        <item x="1"/>
        <item m="1" x="12"/>
        <item m="1" x="11"/>
        <item m="1" x="29"/>
        <item x="4"/>
        <item m="1" x="28"/>
        <item m="1" x="8"/>
        <item t="default"/>
      </items>
    </pivotField>
    <pivotField showAll="0"/>
    <pivotField showAll="0"/>
    <pivotField dataField="1" showAll="0"/>
    <pivotField showAll="0" defaultSubtotal="0"/>
    <pivotField showAll="0" defaultSubtotal="0"/>
    <pivotField axis="axisRow" showAll="0" defaultSubtotal="0">
      <items count="3">
        <item x="0"/>
        <item x="1"/>
        <item m="1" x="2"/>
      </items>
    </pivotField>
    <pivotField showAll="0"/>
    <pivotField dragToRow="0" dragToCol="0" dragToPage="0" showAll="0" defaultSubtotal="0"/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Suma de Cantidad" fld="7" baseField="0" baseItem="0"/>
  </dataFields>
  <formats count="10">
    <format dxfId="204">
      <pivotArea outline="0" collapsedLevelsAreSubtotals="1" fieldPosition="0"/>
    </format>
    <format dxfId="203">
      <pivotArea outline="0" collapsedLevelsAreSubtotals="1" fieldPosition="0"/>
    </format>
    <format dxfId="202">
      <pivotArea outline="0" collapsedLevelsAreSubtotals="1" fieldPosition="0"/>
    </format>
    <format dxfId="201">
      <pivotArea outline="0" collapsedLevelsAreSubtotals="1" fieldPosition="0"/>
    </format>
    <format dxfId="200">
      <pivotArea outline="0" collapsedLevelsAreSubtotals="1" fieldPosition="0"/>
    </format>
    <format dxfId="199">
      <pivotArea outline="0" collapsedLevelsAreSubtotals="1" fieldPosition="0"/>
    </format>
    <format dxfId="198">
      <pivotArea outline="0" collapsedLevelsAreSubtotals="1" fieldPosition="0"/>
    </format>
    <format dxfId="197">
      <pivotArea outline="0" collapsedLevelsAreSubtotals="1" fieldPosition="0"/>
    </format>
    <format dxfId="196">
      <pivotArea outline="0" collapsedLevelsAreSubtotals="1" fieldPosition="0"/>
    </format>
    <format dxfId="19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Trabajador1" xr10:uid="{00000000-0013-0000-FFFF-FFFF01000000}" sourceName="Nombre del Trabajador">
  <pivotTables>
    <pivotTable tabId="35" name="TablaDinámica7"/>
    <pivotTable tabId="35" name="TablaDinámica1"/>
    <pivotTable tabId="35" name="TablaDinámica13"/>
    <pivotTable tabId="37" name="TablaDinámica8"/>
    <pivotTable tabId="35" name="TablaDinámica6"/>
    <pivotTable tabId="35" name="TablaDinámica9"/>
    <pivotTable tabId="35" name="TablaDinámica2"/>
    <pivotTable tabId="35" name="TablaDinámica3"/>
  </pivotTables>
  <data>
    <tabular pivotCacheId="1" showMissing="0">
      <items count="148">
        <i x="10" s="1"/>
        <i x="8" s="1"/>
        <i x="6" s="1"/>
        <i x="7" s="1"/>
        <i x="9" s="1"/>
        <i x="4" s="1"/>
        <i x="0" s="1"/>
        <i x="2" s="1"/>
        <i x="3" s="1"/>
        <i x="1" s="1"/>
        <i x="5" s="1"/>
        <i x="14" s="1" nd="1"/>
        <i x="15" s="1" nd="1"/>
        <i x="37" s="1" nd="1"/>
        <i x="38" s="1" nd="1"/>
        <i x="39" s="1" nd="1"/>
        <i x="147" s="1" nd="1"/>
        <i x="117" s="1" nd="1"/>
        <i x="40" s="1" nd="1"/>
        <i x="41" s="1" nd="1"/>
        <i x="42" s="1" nd="1"/>
        <i x="43" s="1" nd="1"/>
        <i x="118" s="1" nd="1"/>
        <i x="119" s="1" nd="1"/>
        <i x="12" s="1" nd="1"/>
        <i x="44" s="1" nd="1"/>
        <i x="146" s="1" nd="1"/>
        <i x="16" s="1" nd="1"/>
        <i x="45" s="1" nd="1"/>
        <i x="46" s="1" nd="1"/>
        <i x="47" s="1" nd="1"/>
        <i x="17" s="1" nd="1"/>
        <i x="48" s="1" nd="1"/>
        <i x="49" s="1" nd="1"/>
        <i x="50" s="1" nd="1"/>
        <i x="51" s="1" nd="1"/>
        <i x="52" s="1" nd="1"/>
        <i x="53" s="1" nd="1"/>
        <i x="18" s="1" nd="1"/>
        <i x="120" s="1" nd="1"/>
        <i x="121" s="1" nd="1"/>
        <i x="145" s="1" nd="1"/>
        <i x="11" s="1" nd="1"/>
        <i x="54" s="1" nd="1"/>
        <i x="19" s="1" nd="1"/>
        <i x="55" s="1" nd="1"/>
        <i x="122" s="1" nd="1"/>
        <i x="20" s="1" nd="1"/>
        <i x="21" s="1" nd="1"/>
        <i x="56" s="1" nd="1"/>
        <i x="57" s="1" nd="1"/>
        <i x="58" s="1" nd="1"/>
        <i x="59" s="1" nd="1"/>
        <i x="60" s="1" nd="1"/>
        <i x="22" s="1" nd="1"/>
        <i x="61" s="1" nd="1"/>
        <i x="62" s="1" nd="1"/>
        <i x="23" s="1" nd="1"/>
        <i x="63" s="1" nd="1"/>
        <i x="123" s="1" nd="1"/>
        <i x="64" s="1" nd="1"/>
        <i x="65" s="1" nd="1"/>
        <i x="66" s="1" nd="1"/>
        <i x="24" s="1" nd="1"/>
        <i x="67" s="1" nd="1"/>
        <i x="25" s="1" nd="1"/>
        <i x="68" s="1" nd="1"/>
        <i x="26" s="1" nd="1"/>
        <i x="69" s="1" nd="1"/>
        <i x="70" s="1" nd="1"/>
        <i x="71" s="1" nd="1"/>
        <i x="72" s="1" nd="1"/>
        <i x="124" s="1" nd="1"/>
        <i x="73" s="1" nd="1"/>
        <i x="74" s="1" nd="1"/>
        <i x="125" s="1" nd="1"/>
        <i x="126" s="1" nd="1"/>
        <i x="75" s="1" nd="1"/>
        <i x="76" s="1" nd="1"/>
        <i x="127" s="1" nd="1"/>
        <i x="77" s="1" nd="1"/>
        <i x="78" s="1" nd="1"/>
        <i x="139" s="1" nd="1"/>
        <i x="27" s="1" nd="1"/>
        <i x="79" s="1" nd="1"/>
        <i x="80" s="1" nd="1"/>
        <i x="81" s="1" nd="1"/>
        <i x="82" s="1" nd="1"/>
        <i x="128" s="1" nd="1"/>
        <i x="83" s="1" nd="1"/>
        <i x="84" s="1" nd="1"/>
        <i x="85" s="1" nd="1"/>
        <i x="86" s="1" nd="1"/>
        <i x="87" s="1" nd="1"/>
        <i x="129" s="1" nd="1"/>
        <i x="130" s="1" nd="1"/>
        <i x="131" s="1" nd="1"/>
        <i x="88" s="1" nd="1"/>
        <i x="28" s="1" nd="1"/>
        <i x="89" s="1" nd="1"/>
        <i x="29" s="1" nd="1"/>
        <i x="132" s="1" nd="1"/>
        <i x="90" s="1" nd="1"/>
        <i x="91" s="1" nd="1"/>
        <i x="92" s="1" nd="1"/>
        <i x="93" s="1" nd="1"/>
        <i x="94" s="1" nd="1"/>
        <i x="133" s="1" nd="1"/>
        <i x="144" s="1" nd="1"/>
        <i x="30" s="1" nd="1"/>
        <i x="95" s="1" nd="1"/>
        <i x="96" s="1" nd="1"/>
        <i x="31" s="1" nd="1"/>
        <i x="32" s="1" nd="1"/>
        <i x="33" s="1" nd="1"/>
        <i x="143" s="1" nd="1"/>
        <i x="97" s="1" nd="1"/>
        <i x="98" s="1" nd="1"/>
        <i x="140" s="1" nd="1"/>
        <i x="99" s="1" nd="1"/>
        <i x="34" s="1" nd="1"/>
        <i x="100" s="1" nd="1"/>
        <i x="101" s="1" nd="1"/>
        <i x="102" s="1" nd="1"/>
        <i x="134" s="1" nd="1"/>
        <i x="103" s="1" nd="1"/>
        <i x="104" s="1" nd="1"/>
        <i x="135" s="1" nd="1"/>
        <i x="105" s="1" nd="1"/>
        <i x="106" s="1" nd="1"/>
        <i x="107" s="1" nd="1"/>
        <i x="136" s="1" nd="1"/>
        <i x="137" s="1" nd="1"/>
        <i x="108" s="1" nd="1"/>
        <i x="109" s="1" nd="1"/>
        <i x="110" s="1" nd="1"/>
        <i x="111" s="1" nd="1"/>
        <i x="35" s="1" nd="1"/>
        <i x="138" s="1" nd="1"/>
        <i x="112" s="1" nd="1"/>
        <i x="113" s="1" nd="1"/>
        <i x="114" s="1" nd="1"/>
        <i x="142" s="1" nd="1"/>
        <i x="115" s="1" nd="1"/>
        <i x="36" s="1" nd="1"/>
        <i x="141" s="1" nd="1"/>
        <i x="116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00000000-0013-0000-FFFF-FFFF02000000}" sourceName="Turno">
  <pivotTables>
    <pivotTable tabId="35" name="TablaDinámica7"/>
    <pivotTable tabId="35" name="TablaDinámica1"/>
    <pivotTable tabId="35" name="TablaDinámica13"/>
    <pivotTable tabId="37" name="TablaDinámica8"/>
    <pivotTable tabId="35" name="TablaDinámica6"/>
    <pivotTable tabId="35" name="TablaDinámica9"/>
    <pivotTable tabId="35" name="TablaDinámica2"/>
    <pivotTable tabId="35" name="TablaDinámica3"/>
  </pivotTables>
  <data>
    <tabular pivotCacheId="1" showMissing="0">
      <items count="5">
        <i x="1" s="1"/>
        <i x="0" s="1"/>
        <i x="2" s="1"/>
        <i x="3" s="1"/>
        <i x="4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1" xr10:uid="{00000000-0013-0000-FFFF-FFFF03000000}" sourceName="Producto">
  <pivotTables>
    <pivotTable tabId="35" name="TablaDinámica13"/>
    <pivotTable tabId="35" name="TablaDinámica7"/>
    <pivotTable tabId="35" name="TablaDinámica6"/>
    <pivotTable tabId="35" name="TablaDinámica9"/>
    <pivotTable tabId="37" name="TablaDinámica8"/>
    <pivotTable tabId="35" name="TablaDinámica1"/>
    <pivotTable tabId="35" name="TablaDinámica2"/>
    <pivotTable tabId="35" name="TablaDinámica3"/>
  </pivotTables>
  <data>
    <tabular pivotCacheId="1" showMissing="0">
      <items count="37">
        <i x="3" s="1"/>
        <i x="5" s="1"/>
        <i x="0" s="1"/>
        <i x="2" s="1"/>
        <i x="6" s="1"/>
        <i x="1" s="1"/>
        <i x="4" s="1"/>
        <i x="25" s="1" nd="1"/>
        <i x="13" s="1" nd="1"/>
        <i x="32" s="1" nd="1"/>
        <i x="22" s="1" nd="1"/>
        <i x="36" s="1" nd="1"/>
        <i x="20" s="1" nd="1"/>
        <i x="18" s="1" nd="1"/>
        <i x="19" s="1" nd="1"/>
        <i x="17" s="1" nd="1"/>
        <i x="14" s="1" nd="1"/>
        <i x="9" s="1" nd="1"/>
        <i x="30" s="1" nd="1"/>
        <i x="31" s="1" nd="1"/>
        <i x="33" s="1" nd="1"/>
        <i x="34" s="1" nd="1"/>
        <i x="15" s="1" nd="1"/>
        <i x="21" s="1" nd="1"/>
        <i x="23" s="1" nd="1"/>
        <i x="27" s="1" nd="1"/>
        <i x="24" s="1" nd="1"/>
        <i x="7" s="1" nd="1"/>
        <i x="26" s="1" nd="1"/>
        <i x="35" s="1" nd="1"/>
        <i x="10" s="1" nd="1"/>
        <i x="16" s="1" nd="1"/>
        <i x="12" s="1" nd="1"/>
        <i x="11" s="1" nd="1"/>
        <i x="29" s="1" nd="1"/>
        <i x="28" s="1" nd="1"/>
        <i x="8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trgado" xr10:uid="{00000000-0013-0000-FFFF-FFFF04000000}" sourceName="Entrgado">
  <pivotTables>
    <pivotTable tabId="35" name="TablaDinámica6"/>
    <pivotTable tabId="35" name="TablaDinámica13"/>
    <pivotTable tabId="35" name="TablaDinámica9"/>
    <pivotTable tabId="35" name="TablaDinámica2"/>
    <pivotTable tabId="35" name="TablaDinámica1"/>
  </pivotTables>
  <data>
    <tabular pivotCacheId="1">
      <items count="3">
        <i x="0" s="1"/>
        <i x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del Trabajador 1" xr10:uid="{00000000-0014-0000-FFFF-FFFF04000000}" cache="SegmentaciónDeDatos_Nombre_del_Trabajador1" caption="Nombre del Trabajador" style="SlicerStyleDark1" rowHeight="288000"/>
  <slicer name="Turno 1" xr10:uid="{00000000-0014-0000-FFFF-FFFF05000000}" cache="SegmentaciónDeDatos_Turno1" caption="Turno" columnCount="2" rowHeight="396000"/>
  <slicer name="Producto 1" xr10:uid="{00000000-0014-0000-FFFF-FFFF06000000}" cache="SegmentaciónDeDatos_Producto1" caption="Producto" columnCount="2" style="SlicerStyleDark5" rowHeight="396000"/>
  <slicer name="Entrgado" xr10:uid="{00000000-0014-0000-FFFF-FFFF07000000}" cache="SegmentaciónDeDatos_Entrgado" caption="Estado de Epp" columnCount="2" style="SlicerStyleDark1" rowHeight="50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Registros" displayName="TRegistros" ref="B17:M47" totalsRowShown="0" headerRowDxfId="329" dataDxfId="328">
  <autoFilter ref="B17:M47" xr:uid="{00000000-0009-0000-0100-000001000000}"/>
  <tableColumns count="12">
    <tableColumn id="1" xr3:uid="{00000000-0010-0000-0000-000001000000}" name="Nombre del Trabajador" dataDxfId="327"/>
    <tableColumn id="2" xr3:uid="{00000000-0010-0000-0000-000002000000}" name="Rut" dataDxfId="326"/>
    <tableColumn id="3" xr3:uid="{00000000-0010-0000-0000-000003000000}" name="Turno" dataDxfId="325"/>
    <tableColumn id="13" xr3:uid="{ED07A034-3AA8-44AF-9581-20675BE50446}" name="Departamento" dataDxfId="324"/>
    <tableColumn id="10" xr3:uid="{00000000-0010-0000-0000-00000A000000}" name="Producto" dataDxfId="323"/>
    <tableColumn id="4" xr3:uid="{00000000-0010-0000-0000-000004000000}" name="Modelo-Color-EPP" dataDxfId="322"/>
    <tableColumn id="9" xr3:uid="{00000000-0010-0000-0000-000009000000}" name="Talla" dataDxfId="321"/>
    <tableColumn id="6" xr3:uid="{00000000-0010-0000-0000-000006000000}" name="Cantidad" dataDxfId="320"/>
    <tableColumn id="7" xr3:uid="{00000000-0010-0000-0000-000007000000}" name="Costo Unitario" dataDxfId="319" dataCellStyle="Moneda [0]"/>
    <tableColumn id="12" xr3:uid="{00000000-0010-0000-0000-00000C000000}" name="Costo Total" dataDxfId="318" dataCellStyle="Moneda [0]"/>
    <tableColumn id="8" xr3:uid="{00000000-0010-0000-0000-000008000000}" name="Entrgado" dataDxfId="317"/>
    <tableColumn id="5" xr3:uid="{00000000-0010-0000-0000-000005000000}" name="Obsevaciones " dataDxfId="31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Maestro" displayName="TMaestro" ref="B5:L30" totalsRowShown="0" headerRowDxfId="315">
  <autoFilter ref="B5:L30" xr:uid="{00000000-0009-0000-0100-000009000000}">
    <filterColumn colId="0">
      <customFilters>
        <customFilter val="**"/>
      </customFilters>
    </filterColumn>
  </autoFilter>
  <tableColumns count="11">
    <tableColumn id="12" xr3:uid="{00000000-0010-0000-0100-00000C000000}" name="Nombre"/>
    <tableColumn id="2" xr3:uid="{00000000-0010-0000-0100-000002000000}" name="Columna1"/>
    <tableColumn id="3" xr3:uid="{00000000-0010-0000-0100-000003000000}" name="Cargo"/>
    <tableColumn id="4" xr3:uid="{00000000-0010-0000-0100-000004000000}" name="Tipo de Contrato"/>
    <tableColumn id="5" xr3:uid="{00000000-0010-0000-0100-000005000000}" name="Genero"/>
    <tableColumn id="6" xr3:uid="{00000000-0010-0000-0100-000006000000}" name="Turno"/>
    <tableColumn id="7" xr3:uid="{00000000-0010-0000-0100-000007000000}" name="N° centro costos"/>
    <tableColumn id="8" xr3:uid="{00000000-0010-0000-0100-000008000000}" name="Nombre Centro de Costo"/>
    <tableColumn id="9" xr3:uid="{00000000-0010-0000-0100-000009000000}" name="Cost Center"/>
    <tableColumn id="10" xr3:uid="{00000000-0010-0000-0100-00000A000000}" name="Area"/>
    <tableColumn id="11" xr3:uid="{00000000-0010-0000-0100-00000B000000}" name="Especiali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Delantal" displayName="Delantal" ref="H1:H4" totalsRowShown="0" headerRowDxfId="314" dataDxfId="313">
  <autoFilter ref="H1:H4" xr:uid="{00000000-0009-0000-0100-000004000000}"/>
  <tableColumns count="1">
    <tableColumn id="1" xr3:uid="{00000000-0010-0000-0200-000001000000}" name="Delantal" dataDxfId="3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Slack" displayName="Slack" ref="I1:I5" totalsRowShown="0" headerRowDxfId="311" dataDxfId="310">
  <autoFilter ref="I1:I5" xr:uid="{00000000-0009-0000-0100-000005000000}"/>
  <tableColumns count="1">
    <tableColumn id="1" xr3:uid="{00000000-0010-0000-0300-000001000000}" name="Slack" dataDxfId="3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d_Azul" displayName="d_Azul" ref="C2:C8" totalsRowShown="0" headerRowDxfId="308" dataDxfId="307" headerRowCellStyle="Normal" dataCellStyle="Normal">
  <autoFilter ref="C2:C8" xr:uid="{00000000-0009-0000-0100-000006000000}"/>
  <tableColumns count="1">
    <tableColumn id="1" xr3:uid="{00000000-0010-0000-0400-000001000000}" name="d_Azul" dataDxfId="306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d_Blanco" displayName="d_Blanco" ref="C9:C15" totalsRowShown="0" headerRowDxfId="305" dataDxfId="304" headerRowCellStyle="Normal" dataCellStyle="Normal">
  <autoFilter ref="C9:C15" xr:uid="{00000000-0009-0000-0100-000008000000}"/>
  <tableColumns count="1">
    <tableColumn id="1" xr3:uid="{00000000-0010-0000-0500-000001000000}" name="d_Blanco" dataDxfId="303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d_Verde" displayName="d_Verde" ref="C16:C22" totalsRowShown="0" headerRowDxfId="302" dataDxfId="301" headerRowCellStyle="Normal" dataCellStyle="Normal">
  <autoFilter ref="C16:C22" xr:uid="{00000000-0009-0000-0100-00000A000000}"/>
  <tableColumns count="1">
    <tableColumn id="1" xr3:uid="{00000000-0010-0000-0600-000001000000}" name="d_Verde" dataDxfId="300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s_Gris" displayName="s_Gris" ref="C23:C29" totalsRowShown="0" headerRowDxfId="299" dataDxfId="298" headerRowCellStyle="Normal" dataCellStyle="Normal">
  <autoFilter ref="C23:C29" xr:uid="{00000000-0009-0000-0100-00000B000000}"/>
  <tableColumns count="1">
    <tableColumn id="1" xr3:uid="{00000000-0010-0000-0700-000001000000}" name="s_Gris" dataDxfId="297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s_Verde" displayName="s_Verde" ref="C30:C36" totalsRowShown="0" headerRowDxfId="296" dataDxfId="295" headerRowCellStyle="Normal" dataCellStyle="Normal">
  <autoFilter ref="C30:C36" xr:uid="{00000000-0009-0000-0100-00000C000000}"/>
  <tableColumns count="1">
    <tableColumn id="1" xr3:uid="{00000000-0010-0000-0800-000001000000}" name="s_Verde" dataDxfId="294" dataCellStyle="Norm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s_Blanco" displayName="s_Blanco" ref="C37:C43" totalsRowShown="0" headerRowDxfId="293" dataDxfId="292" headerRowCellStyle="Normal" dataCellStyle="Normal">
  <autoFilter ref="C37:C43" xr:uid="{00000000-0009-0000-0100-00000D000000}"/>
  <tableColumns count="1">
    <tableColumn id="1" xr3:uid="{00000000-0010-0000-0900-000001000000}" name="s_Blanco" dataDxfId="291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s_PantalonSlackBlanco" displayName="s_PantalonSlackBlanco" ref="C44:C50" totalsRowShown="0" headerRowDxfId="290" dataDxfId="289" headerRowCellStyle="Normal" dataCellStyle="Normal">
  <autoFilter ref="C44:C50" xr:uid="{00000000-0009-0000-0100-00000E000000}"/>
  <tableColumns count="1">
    <tableColumn id="1" xr3:uid="{00000000-0010-0000-0A00-000001000000}" name="s_Pantalon Slack Blanco" dataDxfId="288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Poleras" displayName="Poleras" ref="J1:J5" totalsRowShown="0" headerRowDxfId="287">
  <autoFilter ref="J1:J5" xr:uid="{00000000-0009-0000-0100-00000F000000}"/>
  <tableColumns count="1">
    <tableColumn id="1" xr3:uid="{00000000-0010-0000-0B00-000001000000}" name="Polera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Zapatos" displayName="Zapatos" ref="K1:K6" totalsRowShown="0" headerRowDxfId="286">
  <autoFilter ref="K1:K6" xr:uid="{00000000-0009-0000-0100-000010000000}"/>
  <tableColumns count="1">
    <tableColumn id="1" xr3:uid="{00000000-0010-0000-0C00-000001000000}" name="Zapato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D000000}" name="Parka" displayName="Parka" ref="L1:L3" totalsRowShown="0" headerRowDxfId="285">
  <autoFilter ref="L1:L3" xr:uid="{00000000-0009-0000-0100-000011000000}"/>
  <tableColumns count="1">
    <tableColumn id="1" xr3:uid="{00000000-0010-0000-0D00-000001000000}" name="Park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Termicos" displayName="Termicos" ref="M1:M3" totalsRowShown="0" headerRowDxfId="284">
  <autoFilter ref="M1:M3" xr:uid="{00000000-0009-0000-0100-000012000000}"/>
  <tableColumns count="1">
    <tableColumn id="1" xr3:uid="{00000000-0010-0000-0E00-000001000000}" name="Termico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Ignifugos" displayName="Ignifugos" ref="N1:N4" totalsRowShown="0" headerRowDxfId="283">
  <autoFilter ref="N1:N4" xr:uid="{00000000-0009-0000-0100-000013000000}"/>
  <tableColumns count="1">
    <tableColumn id="1" xr3:uid="{00000000-0010-0000-0F00-000001000000}" name="Ignifugo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Botas" displayName="Botas" ref="O1:O4" totalsRowShown="0" headerRowDxfId="282">
  <autoFilter ref="O1:O4" xr:uid="{00000000-0009-0000-0100-000014000000}"/>
  <tableColumns count="1">
    <tableColumn id="1" xr3:uid="{00000000-0010-0000-1000-000001000000}" name="Bota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Otros" displayName="Otros" ref="P1:P6" totalsRowShown="0" headerRowDxfId="281">
  <autoFilter ref="P1:P6" xr:uid="{00000000-0009-0000-0100-000015000000}"/>
  <tableColumns count="1">
    <tableColumn id="1" xr3:uid="{00000000-0010-0000-1100-000001000000}" name="Otro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2000000}" name="p_Verde" displayName="p_Verde" ref="C72:C78" totalsRowShown="0" headerRowDxfId="280" dataDxfId="279" headerRowCellStyle="Normal" dataCellStyle="Normal">
  <autoFilter ref="C72:C78" xr:uid="{00000000-0009-0000-0100-000017000000}"/>
  <tableColumns count="1">
    <tableColumn id="1" xr3:uid="{00000000-0010-0000-1200-000001000000}" name="p_Verde" dataDxfId="278" dataCellStyle="Normal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3000000}" name="p_Azul" displayName="p_Azul" ref="C51:C57" totalsRowShown="0" headerRowDxfId="277" dataDxfId="276" headerRowCellStyle="Normal" dataCellStyle="Normal">
  <autoFilter ref="C51:C57" xr:uid="{00000000-0009-0000-0100-000018000000}"/>
  <tableColumns count="1">
    <tableColumn id="1" xr3:uid="{00000000-0010-0000-1300-000001000000}" name="p_Azul" dataDxfId="275" dataCellStyle="Normal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4000000}" name="p_Blanco" displayName="p_Blanco" ref="C58:C64" totalsRowShown="0" headerRowDxfId="274" dataDxfId="273" headerRowCellStyle="Normal" dataCellStyle="Normal">
  <autoFilter ref="C58:C64" xr:uid="{00000000-0009-0000-0100-000019000000}"/>
  <tableColumns count="1">
    <tableColumn id="1" xr3:uid="{00000000-0010-0000-1400-000001000000}" name="p_Blanco" dataDxfId="272" dataCellStyle="Normal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5000000}" name="p_Gris" displayName="p_Gris" ref="C65:C71" totalsRowShown="0" headerRowDxfId="271" dataDxfId="270" headerRowCellStyle="Normal" dataCellStyle="Normal">
  <autoFilter ref="C65:C71" xr:uid="{00000000-0009-0000-0100-00001A000000}"/>
  <tableColumns count="1">
    <tableColumn id="1" xr3:uid="{00000000-0010-0000-1500-000001000000}" name="p_Gris" dataDxfId="269" dataCellStyle="Norm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6000000}" name="NorsegDama" displayName="NorsegDama" ref="C79:C91" totalsRowShown="0" headerRowDxfId="268" dataDxfId="267" headerRowCellStyle="Normal" dataCellStyle="Normal">
  <autoFilter ref="C79:C91" xr:uid="{00000000-0009-0000-0100-00001B000000}"/>
  <tableColumns count="1">
    <tableColumn id="1" xr3:uid="{00000000-0010-0000-1600-000001000000}" name="NorsegDama" dataDxfId="266" dataCellStyle="Normal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7000000}" name="NorsegVaron" displayName="NorsegVaron" ref="C92:C104" totalsRowShown="0" headerRowDxfId="265" dataDxfId="264" headerRowCellStyle="Normal" dataCellStyle="Normal">
  <autoFilter ref="C92:C104" xr:uid="{00000000-0009-0000-0100-00001C000000}"/>
  <tableColumns count="1">
    <tableColumn id="1" xr3:uid="{00000000-0010-0000-1700-000001000000}" name="NorsegVaron" dataDxfId="263" dataCellStyle="Normal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8000000}" name="PanamaJack" displayName="PanamaJack" ref="C105:C117" totalsRowShown="0" headerRowDxfId="262" dataDxfId="261" headerRowCellStyle="Normal" dataCellStyle="Normal">
  <autoFilter ref="C105:C117" xr:uid="{00000000-0009-0000-0100-00001D000000}"/>
  <tableColumns count="1">
    <tableColumn id="1" xr3:uid="{00000000-0010-0000-1800-000001000000}" name="PanamaJack" dataDxfId="260" dataCellStyle="Norma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9000000}" name="Camara" displayName="Camara" ref="C118:C130" totalsRowShown="0" headerRowDxfId="259" dataDxfId="258" headerRowCellStyle="Normal" dataCellStyle="Normal">
  <autoFilter ref="C118:C130" xr:uid="{00000000-0009-0000-0100-00001E000000}"/>
  <tableColumns count="1">
    <tableColumn id="1" xr3:uid="{00000000-0010-0000-1900-000001000000}" name="Camara" dataDxfId="257" dataCellStyle="Normal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A000000}" name="Edelbrook" displayName="Edelbrook" ref="C132:C144" totalsRowShown="0" headerRowDxfId="256" dataDxfId="255" headerRowCellStyle="Normal" dataCellStyle="Normal">
  <autoFilter ref="C132:C144" xr:uid="{00000000-0009-0000-0100-00001F000000}"/>
  <tableColumns count="1">
    <tableColumn id="1" xr3:uid="{00000000-0010-0000-1A00-000001000000}" name="Edekbrook" dataDxfId="254" dataCellStyle="Normal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B000000}" name="Highway" displayName="Highway" ref="C145:C151" totalsRowShown="0" headerRowDxfId="253" dataDxfId="252" headerRowCellStyle="Normal" dataCellStyle="Normal">
  <autoFilter ref="C145:C151" xr:uid="{00000000-0009-0000-0100-000020000000}"/>
  <tableColumns count="1">
    <tableColumn id="1" xr3:uid="{00000000-0010-0000-1B00-000001000000}" name="Highway" dataDxfId="251" dataCellStyle="Normal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C000000}" name="Alaska" displayName="Alaska" ref="C152:C158" totalsRowShown="0" headerRowDxfId="250" dataDxfId="249" headerRowCellStyle="Normal" dataCellStyle="Normal">
  <autoFilter ref="C152:C158" xr:uid="{00000000-0009-0000-0100-000021000000}"/>
  <tableColumns count="1">
    <tableColumn id="1" xr3:uid="{00000000-0010-0000-1C00-000001000000}" name="Alaska" dataDxfId="248" dataCellStyle="Normal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D000000}" name="Overol" displayName="Overol" ref="C159:C165" totalsRowShown="0" headerRowDxfId="247" dataDxfId="246" headerRowCellStyle="Normal" dataCellStyle="Normal">
  <autoFilter ref="C159:C165" xr:uid="{00000000-0009-0000-0100-000022000000}"/>
  <tableColumns count="1">
    <tableColumn id="1" xr3:uid="{00000000-0010-0000-1D00-000001000000}" name="Overol" dataDxfId="245" dataCellStyle="Normal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E000000}" name="Guantes" displayName="Guantes" ref="C166:C167" totalsRowShown="0" headerRowDxfId="244" dataDxfId="243" headerRowCellStyle="Normal" dataCellStyle="Normal">
  <autoFilter ref="C166:C167" xr:uid="{00000000-0009-0000-0100-000023000000}"/>
  <tableColumns count="1">
    <tableColumn id="1" xr3:uid="{00000000-0010-0000-1E00-000001000000}" name="Guantes" dataDxfId="242" dataCellStyle="Normal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F000000}" name="Camisa" displayName="Camisa" ref="C168:C174" totalsRowShown="0" headerRowDxfId="241" dataDxfId="240" tableBorderDxfId="239" headerRowCellStyle="Normal" dataCellStyle="Normal">
  <autoFilter ref="C168:C174" xr:uid="{00000000-0009-0000-0100-000024000000}"/>
  <tableColumns count="1">
    <tableColumn id="1" xr3:uid="{00000000-0010-0000-1F00-000001000000}" name="Camisa" dataDxfId="238" dataCellStyle="Normal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Pantalon" displayName="Pantalon" ref="C175:C183" totalsRowShown="0" headerRowDxfId="237" dataDxfId="236" headerRowCellStyle="Normal" dataCellStyle="Normal">
  <autoFilter ref="C175:C183" xr:uid="{00000000-0009-0000-0100-000025000000}"/>
  <tableColumns count="1">
    <tableColumn id="1" xr3:uid="{00000000-0010-0000-2000-000001000000}" name="Pantalon " dataDxfId="235" dataCellStyle="Normal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1000000}" name="Balaclava" displayName="Balaclava" ref="C184:C185" totalsRowShown="0" headerRowDxfId="234" dataDxfId="233" headerRowCellStyle="Normal" dataCellStyle="Normal">
  <autoFilter ref="C184:C185" xr:uid="{00000000-0009-0000-0100-000026000000}"/>
  <tableColumns count="1">
    <tableColumn id="1" xr3:uid="{00000000-0010-0000-2100-000001000000}" name="Balaclava" dataDxfId="232" dataCellStyle="Normal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2000000}" name="b_Blancas" displayName="b_Blancas" ref="C186:C198" totalsRowShown="0" headerRowDxfId="231" dataDxfId="230" headerRowCellStyle="Normal" dataCellStyle="Normal">
  <autoFilter ref="C186:C198" xr:uid="{00000000-0009-0000-0100-000027000000}"/>
  <tableColumns count="1">
    <tableColumn id="1" xr3:uid="{00000000-0010-0000-2200-000001000000}" name="b_Blancas" dataDxfId="229" dataCellStyle="Norma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3000000}" name="b_Verde" displayName="b_Verde" ref="C199:C211" totalsRowShown="0" headerRowDxfId="228" dataDxfId="227" headerRowCellStyle="Normal" dataCellStyle="Normal">
  <autoFilter ref="C199:C211" xr:uid="{00000000-0009-0000-0100-000028000000}"/>
  <tableColumns count="1">
    <tableColumn id="1" xr3:uid="{00000000-0010-0000-2300-000001000000}" name="b_Verde" dataDxfId="226" dataCellStyle="Normal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4000000}" name="b_VerdeBlanco" displayName="b_VerdeBlanco" ref="C212:C224" totalsRowShown="0" headerRowDxfId="225" dataDxfId="224" headerRowCellStyle="Normal" dataCellStyle="Normal">
  <autoFilter ref="C212:C224" xr:uid="{00000000-0009-0000-0100-000029000000}"/>
  <tableColumns count="1">
    <tableColumn id="1" xr3:uid="{00000000-0010-0000-2400-000001000000}" name="b_VerdeBlanco" dataDxfId="223" dataCellStyle="Normal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5000000}" name="PrimeraCapa" displayName="PrimeraCapa" ref="C225:C226" totalsRowShown="0" headerRowDxfId="222" dataDxfId="221" headerRowCellStyle="Normal" dataCellStyle="Normal">
  <autoFilter ref="C225:C226" xr:uid="{00000000-0009-0000-0100-00002A000000}"/>
  <tableColumns count="1">
    <tableColumn id="1" xr3:uid="{00000000-0010-0000-2500-000001000000}" name="PrimeraCapa" dataDxfId="220" dataCellStyle="Normal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6000000}" name="Pasamontañas" displayName="Pasamontañas" ref="C227:C228" totalsRowShown="0" headerRowDxfId="219" dataDxfId="218" headerRowCellStyle="Normal" dataCellStyle="Normal">
  <autoFilter ref="C227:C228" xr:uid="{00000000-0009-0000-0100-00002B000000}"/>
  <tableColumns count="1">
    <tableColumn id="1" xr3:uid="{00000000-0010-0000-2600-000001000000}" name="Pasamontañas" dataDxfId="217" dataCellStyle="Normal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7000000}" name="AntiparraAntiempañante" displayName="AntiparraAntiempañante" ref="C229:C230" totalsRowShown="0" headerRowDxfId="216" dataDxfId="215" headerRowCellStyle="Normal" dataCellStyle="Normal">
  <autoFilter ref="C229:C230" xr:uid="{00000000-0009-0000-0100-00002C000000}"/>
  <tableColumns count="1">
    <tableColumn id="1" xr3:uid="{00000000-0010-0000-2700-000001000000}" name="AntiparraAntiempañante" dataDxfId="214" dataCellStyle="Normal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8000000}" name="ChalecoReflectante" displayName="ChalecoReflectante" ref="C231:C232" totalsRowShown="0" headerRowDxfId="213" dataDxfId="212" headerRowCellStyle="Normal" dataCellStyle="Normal">
  <autoFilter ref="C231:C232" xr:uid="{00000000-0009-0000-0100-00002D000000}"/>
  <tableColumns count="1">
    <tableColumn id="1" xr3:uid="{00000000-0010-0000-2800-000001000000}" name="ChalecoReflectante" dataDxfId="211" dataCellStyle="Normal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9000000}" name="RopaAgua" displayName="RopaAgua" ref="C233:C239" totalsRowShown="0" headerRowDxfId="210" dataDxfId="209" headerRowCellStyle="Normal" dataCellStyle="Normal">
  <autoFilter ref="C233:C239" xr:uid="{00000000-0009-0000-0100-00002E000000}"/>
  <tableColumns count="1">
    <tableColumn id="1" xr3:uid="{00000000-0010-0000-2900-000001000000}" name="RopaAgua" dataDxfId="208" dataCellStyle="Normal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1A90BB-AAF1-473D-BF91-8F48943B8E72}" name="Entregado" displayName="Entregado" ref="H9:H11" totalsRowShown="0" headerRowDxfId="207" dataDxfId="206">
  <autoFilter ref="H9:H11" xr:uid="{5D1A90BB-AAF1-473D-BF91-8F48943B8E72}"/>
  <tableColumns count="1">
    <tableColumn id="1" xr3:uid="{F5AB85B6-423A-4B62-A0DF-BC259A64ABD6}" name="Entregado" dataDxfId="2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29" Type="http://schemas.openxmlformats.org/officeDocument/2006/relationships/table" Target="../tables/table30.xml"/><Relationship Id="rId41" Type="http://schemas.openxmlformats.org/officeDocument/2006/relationships/table" Target="../tables/table4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31" Type="http://schemas.openxmlformats.org/officeDocument/2006/relationships/table" Target="../tables/table32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Y93"/>
  <sheetViews>
    <sheetView showGridLines="0" showRowColHeaders="0" tabSelected="1" zoomScale="56" zoomScaleNormal="56" workbookViewId="0">
      <selection activeCell="L74" sqref="L7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0" defaultRowHeight="12.5" zeroHeight="1"/>
  <cols>
    <col min="1" max="5" width="10.90625" style="12" customWidth="1"/>
    <col min="6" max="6" width="45.6328125" style="12" customWidth="1"/>
    <col min="7" max="7" width="18.81640625" style="12" customWidth="1"/>
    <col min="8" max="8" width="30.81640625" style="12" customWidth="1"/>
    <col min="9" max="9" width="31.7265625" style="12" customWidth="1"/>
    <col min="10" max="10" width="6.54296875" style="12" customWidth="1"/>
    <col min="11" max="11" width="13.1796875" style="12" customWidth="1"/>
    <col min="12" max="12" width="12.1796875" style="12" customWidth="1"/>
    <col min="13" max="13" width="23.26953125" style="12" customWidth="1"/>
    <col min="14" max="14" width="10.90625" style="12" customWidth="1"/>
    <col min="15" max="15" width="34.08984375" style="12" customWidth="1"/>
    <col min="16" max="16" width="25.81640625" style="12" hidden="1" customWidth="1"/>
    <col min="17" max="17" width="41.81640625" style="12" hidden="1" customWidth="1"/>
    <col min="18" max="18" width="25.26953125" style="12" hidden="1" customWidth="1"/>
    <col min="19" max="19" width="31.7265625" style="12" hidden="1" customWidth="1"/>
    <col min="20" max="25" width="0" style="12" hidden="1" customWidth="1"/>
    <col min="26" max="16384" width="10.90625" style="12" hidden="1"/>
  </cols>
  <sheetData>
    <row r="1" customFormat="1"/>
    <row r="2" customFormat="1"/>
    <row r="3" customFormat="1"/>
    <row r="4" customFormat="1"/>
    <row r="5" customFormat="1"/>
    <row r="6" customFormat="1"/>
    <row r="7" customFormat="1"/>
    <row r="8" customFormat="1"/>
    <row r="9" customFormat="1"/>
    <row r="10" customFormat="1"/>
    <row r="11" customFormat="1"/>
    <row r="12" customFormat="1"/>
    <row r="13" customFormat="1"/>
    <row r="14" customFormat="1"/>
    <row r="15" customFormat="1"/>
    <row r="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spans="9:9" customFormat="1"/>
    <row r="34" spans="9:9" customFormat="1">
      <c r="I34" s="2"/>
    </row>
    <row r="35" spans="9:9" customFormat="1"/>
    <row r="36" spans="9:9" customFormat="1"/>
    <row r="37" spans="9:9" customFormat="1"/>
    <row r="38" spans="9:9" customFormat="1"/>
    <row r="39" spans="9:9" customFormat="1"/>
    <row r="40" spans="9:9" customFormat="1"/>
    <row r="41" spans="9:9" customFormat="1"/>
    <row r="42" spans="9:9" customFormat="1"/>
    <row r="43" spans="9:9" customFormat="1"/>
    <row r="44" spans="9:9" customFormat="1"/>
    <row r="45" spans="9:9" customFormat="1"/>
    <row r="46" spans="9:9" customFormat="1"/>
    <row r="47" spans="9:9" customFormat="1"/>
    <row r="48" spans="9:9" customFormat="1"/>
    <row r="49" spans="6:9" customFormat="1"/>
    <row r="50" spans="6:9" customFormat="1"/>
    <row r="51" spans="6:9" customFormat="1"/>
    <row r="52" spans="6:9" customFormat="1"/>
    <row r="53" spans="6:9" customFormat="1"/>
    <row r="54" spans="6:9" customFormat="1"/>
    <row r="55" spans="6:9" customFormat="1"/>
    <row r="56" spans="6:9" ht="20">
      <c r="F56" s="58" t="s">
        <v>71</v>
      </c>
      <c r="G56" s="59" t="s">
        <v>135</v>
      </c>
      <c r="H56" s="59" t="s">
        <v>145</v>
      </c>
      <c r="I56" s="59" t="s">
        <v>146</v>
      </c>
    </row>
    <row r="57" spans="6:9" ht="20">
      <c r="F57" s="71" t="s">
        <v>90</v>
      </c>
      <c r="G57" s="61">
        <v>16</v>
      </c>
      <c r="H57" s="62">
        <v>16450</v>
      </c>
      <c r="I57" s="62">
        <v>263200</v>
      </c>
    </row>
    <row r="58" spans="6:9" ht="20">
      <c r="F58" s="60" t="s">
        <v>108</v>
      </c>
      <c r="G58" s="61">
        <v>16</v>
      </c>
      <c r="H58" s="62">
        <v>16450</v>
      </c>
      <c r="I58" s="62">
        <v>263200</v>
      </c>
    </row>
    <row r="59" spans="6:9" ht="20">
      <c r="F59" s="71" t="s">
        <v>91</v>
      </c>
      <c r="G59" s="61">
        <v>6</v>
      </c>
      <c r="H59" s="62">
        <v>24680</v>
      </c>
      <c r="I59" s="62">
        <v>148080</v>
      </c>
    </row>
    <row r="60" spans="6:9" ht="20">
      <c r="F60" s="60" t="s">
        <v>112</v>
      </c>
      <c r="G60" s="61">
        <v>4</v>
      </c>
      <c r="H60" s="62">
        <v>24680</v>
      </c>
      <c r="I60" s="62">
        <v>98720</v>
      </c>
    </row>
    <row r="61" spans="6:9" ht="20">
      <c r="F61" s="72" t="s">
        <v>113</v>
      </c>
      <c r="G61" s="61">
        <v>2</v>
      </c>
      <c r="H61" s="60">
        <v>24680</v>
      </c>
      <c r="I61" s="60">
        <v>49360</v>
      </c>
    </row>
    <row r="62" spans="6:9" ht="20">
      <c r="F62" s="60" t="s">
        <v>78</v>
      </c>
      <c r="G62" s="61">
        <v>2</v>
      </c>
      <c r="H62" s="62">
        <v>47790</v>
      </c>
      <c r="I62" s="62">
        <v>95580</v>
      </c>
    </row>
    <row r="63" spans="6:9" ht="20">
      <c r="F63" s="60" t="s">
        <v>94</v>
      </c>
      <c r="G63" s="61">
        <v>2</v>
      </c>
      <c r="H63" s="62">
        <v>47790</v>
      </c>
      <c r="I63" s="62">
        <v>95580</v>
      </c>
    </row>
    <row r="64" spans="6:9" ht="20">
      <c r="F64" s="60" t="s">
        <v>133</v>
      </c>
      <c r="G64" s="61">
        <v>2</v>
      </c>
      <c r="H64" s="62">
        <v>38000</v>
      </c>
      <c r="I64" s="62">
        <v>76000</v>
      </c>
    </row>
    <row r="65" spans="6:9" ht="20">
      <c r="F65" s="60" t="s">
        <v>98</v>
      </c>
      <c r="G65" s="61">
        <v>2</v>
      </c>
      <c r="H65" s="62">
        <v>38000</v>
      </c>
      <c r="I65" s="62">
        <v>76000</v>
      </c>
    </row>
    <row r="66" spans="6:9" ht="20">
      <c r="F66" s="60" t="s">
        <v>93</v>
      </c>
      <c r="G66" s="61">
        <v>2</v>
      </c>
      <c r="H66" s="62">
        <v>8950</v>
      </c>
      <c r="I66" s="62">
        <v>17900</v>
      </c>
    </row>
    <row r="67" spans="6:9" ht="20">
      <c r="F67" s="60" t="s">
        <v>126</v>
      </c>
      <c r="G67" s="61">
        <v>2</v>
      </c>
      <c r="H67" s="62">
        <v>8950</v>
      </c>
      <c r="I67" s="62">
        <v>17900</v>
      </c>
    </row>
    <row r="68" spans="6:9" ht="20">
      <c r="F68" s="60" t="s">
        <v>99</v>
      </c>
      <c r="G68" s="61">
        <v>7</v>
      </c>
      <c r="H68" s="62">
        <v>27000</v>
      </c>
      <c r="I68" s="62">
        <v>189000</v>
      </c>
    </row>
    <row r="69" spans="6:9" ht="20">
      <c r="F69" s="60" t="s">
        <v>101</v>
      </c>
      <c r="G69" s="61">
        <v>7</v>
      </c>
      <c r="H69" s="62">
        <v>27000</v>
      </c>
      <c r="I69" s="62">
        <v>189000</v>
      </c>
    </row>
    <row r="70" spans="6:9" ht="20">
      <c r="F70" s="60" t="s">
        <v>202</v>
      </c>
      <c r="G70" s="61">
        <v>5</v>
      </c>
      <c r="H70" s="60">
        <v>16000</v>
      </c>
      <c r="I70" s="60">
        <v>80000</v>
      </c>
    </row>
    <row r="71" spans="6:9" ht="20">
      <c r="F71" s="72" t="s">
        <v>84</v>
      </c>
      <c r="G71" s="61">
        <v>2</v>
      </c>
      <c r="H71" s="60">
        <v>10000</v>
      </c>
      <c r="I71" s="60">
        <v>20000</v>
      </c>
    </row>
    <row r="72" spans="6:9" ht="20">
      <c r="F72" s="72" t="s">
        <v>103</v>
      </c>
      <c r="G72" s="61">
        <v>3</v>
      </c>
      <c r="H72" s="60">
        <v>20000</v>
      </c>
      <c r="I72" s="60">
        <v>60000</v>
      </c>
    </row>
    <row r="73" spans="6:9" ht="20">
      <c r="F73" s="60" t="s">
        <v>89</v>
      </c>
      <c r="G73" s="61">
        <v>40</v>
      </c>
      <c r="H73" s="62">
        <v>21744</v>
      </c>
      <c r="I73" s="62">
        <v>869760</v>
      </c>
    </row>
    <row r="74" spans="6:9">
      <c r="F74"/>
      <c r="G74"/>
      <c r="H74"/>
      <c r="I74"/>
    </row>
    <row r="75" spans="6:9">
      <c r="F75"/>
      <c r="G75"/>
      <c r="H75"/>
      <c r="I75"/>
    </row>
    <row r="76" spans="6:9">
      <c r="F76"/>
      <c r="G76"/>
      <c r="H76"/>
      <c r="I76"/>
    </row>
    <row r="77" spans="6:9">
      <c r="F77"/>
      <c r="G77"/>
      <c r="H77"/>
      <c r="I77"/>
    </row>
    <row r="78" spans="6:9">
      <c r="F78"/>
      <c r="G78"/>
      <c r="H78"/>
      <c r="I78"/>
    </row>
    <row r="79" spans="6:9">
      <c r="F79"/>
      <c r="G79"/>
      <c r="H79"/>
      <c r="I79"/>
    </row>
    <row r="80" spans="6:9">
      <c r="F80"/>
      <c r="G80"/>
      <c r="H80"/>
      <c r="I80"/>
    </row>
    <row r="81" spans="4:9">
      <c r="F81"/>
      <c r="G81"/>
      <c r="H81"/>
      <c r="I81"/>
    </row>
    <row r="82" spans="4:9">
      <c r="F82"/>
      <c r="G82"/>
      <c r="H82"/>
      <c r="I82"/>
    </row>
    <row r="83" spans="4:9">
      <c r="F83"/>
      <c r="G83"/>
      <c r="H83"/>
      <c r="I83"/>
    </row>
    <row r="84" spans="4:9">
      <c r="F84"/>
      <c r="G84"/>
      <c r="H84"/>
      <c r="I84"/>
    </row>
    <row r="85" spans="4:9">
      <c r="F85"/>
      <c r="G85"/>
      <c r="H85"/>
      <c r="I85"/>
    </row>
    <row r="86" spans="4:9">
      <c r="F86"/>
      <c r="G86"/>
      <c r="H86"/>
      <c r="I86"/>
    </row>
    <row r="87" spans="4:9">
      <c r="F87"/>
      <c r="G87"/>
      <c r="H87"/>
      <c r="I87"/>
    </row>
    <row r="88" spans="4:9">
      <c r="F88"/>
      <c r="G88"/>
      <c r="H88"/>
      <c r="I88"/>
    </row>
    <row r="89" spans="4:9">
      <c r="F89"/>
      <c r="G89"/>
      <c r="H89"/>
      <c r="I89"/>
    </row>
    <row r="90" spans="4:9">
      <c r="F90"/>
      <c r="G90"/>
      <c r="H90"/>
      <c r="I90"/>
    </row>
    <row r="91" spans="4:9"/>
    <row r="92" spans="4:9"/>
    <row r="93" spans="4:9" hidden="1">
      <c r="D93" s="12" t="s">
        <v>122</v>
      </c>
    </row>
  </sheetData>
  <sheetProtection autoFilter="0" pivotTables="0"/>
  <pageMargins left="0.7" right="0.7" top="0.75" bottom="0.75" header="0.3" footer="0.3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pageSetUpPr fitToPage="1"/>
  </sheetPr>
  <dimension ref="A1:N47"/>
  <sheetViews>
    <sheetView showGridLines="0" showRowColHeaders="0" zoomScale="55" zoomScaleNormal="55" workbookViewId="0">
      <selection activeCell="J52" sqref="J5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0.90625" defaultRowHeight="12.5"/>
  <cols>
    <col min="1" max="1" width="31.81640625" style="44" customWidth="1"/>
    <col min="2" max="2" width="47.6328125" style="13" customWidth="1"/>
    <col min="3" max="3" width="11.90625" style="12" customWidth="1"/>
    <col min="4" max="4" width="9" style="12" customWidth="1"/>
    <col min="5" max="5" width="19.54296875" style="12" customWidth="1"/>
    <col min="6" max="6" width="29.54296875" style="12" customWidth="1"/>
    <col min="7" max="7" width="15.6328125" style="12" customWidth="1"/>
    <col min="8" max="8" width="9.54296875" style="12" customWidth="1"/>
    <col min="9" max="9" width="12.26953125" style="12" customWidth="1"/>
    <col min="10" max="10" width="24.36328125" style="70" customWidth="1"/>
    <col min="11" max="11" width="16.1796875" style="70" customWidth="1"/>
    <col min="12" max="12" width="12.36328125" style="14" customWidth="1"/>
    <col min="13" max="13" width="65" style="12" customWidth="1"/>
    <col min="14" max="14" width="34.1796875" style="12" customWidth="1"/>
    <col min="15" max="15" width="12.7265625" style="12" customWidth="1"/>
    <col min="16" max="16" width="4.08984375" style="12" customWidth="1"/>
    <col min="17" max="18" width="2.81640625" style="12" customWidth="1"/>
    <col min="19" max="19" width="2" style="12" customWidth="1"/>
    <col min="20" max="20" width="3.08984375" style="12" customWidth="1"/>
    <col min="21" max="21" width="4.26953125" style="12" customWidth="1"/>
    <col min="22" max="22" width="10.54296875" style="12" customWidth="1"/>
    <col min="23" max="23" width="12.08984375" style="12" customWidth="1"/>
    <col min="24" max="25" width="10.7265625" style="12" customWidth="1"/>
    <col min="26" max="26" width="0.1796875" style="12" customWidth="1"/>
    <col min="27" max="27" width="21.81640625" style="12" customWidth="1"/>
    <col min="28" max="34" width="10.453125" style="12" customWidth="1"/>
    <col min="35" max="35" width="10.7265625" style="12" customWidth="1"/>
    <col min="36" max="47" width="10.453125" style="12" customWidth="1"/>
    <col min="48" max="48" width="10.7265625" style="12" customWidth="1"/>
    <col min="49" max="66" width="10.453125" style="12" customWidth="1"/>
    <col min="67" max="67" width="10.7265625" style="12" customWidth="1"/>
    <col min="68" max="94" width="10.453125" style="12" customWidth="1"/>
    <col min="95" max="95" width="10.7265625" style="12" customWidth="1"/>
    <col min="96" max="97" width="10.453125" style="12" customWidth="1"/>
    <col min="98" max="98" width="10.7265625" style="12" customWidth="1"/>
    <col min="99" max="107" width="10.453125" style="12" customWidth="1"/>
    <col min="108" max="109" width="10.7265625" style="12" customWidth="1"/>
    <col min="110" max="111" width="10.453125" style="12" customWidth="1"/>
    <col min="112" max="112" width="10.7265625" style="12" customWidth="1"/>
    <col min="113" max="121" width="10.453125" style="12" customWidth="1"/>
    <col min="122" max="122" width="10.7265625" style="12" customWidth="1"/>
    <col min="123" max="123" width="10.453125" style="12" customWidth="1"/>
    <col min="124" max="124" width="10.7265625" style="12" customWidth="1"/>
    <col min="125" max="139" width="10.453125" style="12" customWidth="1"/>
    <col min="140" max="140" width="10.7265625" style="12" customWidth="1"/>
    <col min="141" max="144" width="10.453125" style="12" customWidth="1"/>
    <col min="145" max="145" width="9.453125" style="12" customWidth="1"/>
    <col min="146" max="158" width="10.453125" style="12" customWidth="1"/>
    <col min="159" max="170" width="9.453125" style="12" customWidth="1"/>
    <col min="171" max="171" width="9.7265625" style="12" customWidth="1"/>
    <col min="172" max="172" width="12.08984375" style="12" customWidth="1"/>
    <col min="173" max="16384" width="10.90625" style="12"/>
  </cols>
  <sheetData>
    <row r="1" spans="1:14" customForma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</row>
    <row r="2" spans="1:14" customFormat="1" ht="15.5" customHeight="1">
      <c r="A2" s="42"/>
      <c r="B2" s="13"/>
      <c r="C2" s="52"/>
      <c r="D2" s="52"/>
      <c r="E2" s="52"/>
      <c r="F2" s="52"/>
      <c r="G2" s="52"/>
      <c r="H2" s="52"/>
      <c r="I2" s="52"/>
      <c r="J2" s="63"/>
      <c r="K2" s="63"/>
      <c r="L2" s="7"/>
      <c r="M2" s="7"/>
      <c r="N2" s="7"/>
    </row>
    <row r="3" spans="1:14" customFormat="1" ht="15.5" customHeight="1">
      <c r="A3" s="42"/>
      <c r="C3" s="52"/>
      <c r="D3" s="52"/>
      <c r="E3" s="52"/>
      <c r="F3" s="52"/>
      <c r="G3" s="52"/>
      <c r="H3" s="52"/>
      <c r="I3" s="52"/>
      <c r="J3" s="63"/>
      <c r="K3" s="63"/>
      <c r="L3" s="7"/>
      <c r="M3" s="7"/>
      <c r="N3" s="7"/>
    </row>
    <row r="4" spans="1:14" customFormat="1" ht="15.5" customHeight="1">
      <c r="A4" s="42"/>
      <c r="B4" s="52"/>
      <c r="C4" s="52"/>
      <c r="D4" s="52"/>
      <c r="E4" s="52"/>
      <c r="F4" s="52"/>
      <c r="G4" s="52"/>
      <c r="H4" s="52"/>
      <c r="I4" s="52"/>
      <c r="J4" s="63"/>
      <c r="K4" s="63"/>
      <c r="L4" s="7"/>
      <c r="M4" s="7"/>
      <c r="N4" s="7"/>
    </row>
    <row r="5" spans="1:14" customFormat="1" ht="15.5" customHeight="1">
      <c r="A5" s="42"/>
      <c r="B5" s="52"/>
      <c r="C5" s="52"/>
      <c r="D5" s="52"/>
      <c r="E5" s="52"/>
      <c r="F5" s="52"/>
      <c r="G5" s="52"/>
      <c r="H5" s="52"/>
      <c r="I5" s="52"/>
      <c r="J5" s="63"/>
      <c r="K5" s="63"/>
      <c r="L5" s="7"/>
      <c r="M5" s="7"/>
      <c r="N5" s="7"/>
    </row>
    <row r="6" spans="1:14" customFormat="1" ht="15.5" customHeight="1">
      <c r="A6" s="42"/>
      <c r="B6" s="52"/>
      <c r="C6" s="52"/>
      <c r="D6" s="52"/>
      <c r="E6" s="52"/>
      <c r="F6" s="52"/>
      <c r="G6" s="52"/>
      <c r="H6" s="52"/>
      <c r="I6" s="52"/>
      <c r="J6" s="63"/>
      <c r="K6" s="63"/>
      <c r="L6" s="7"/>
      <c r="M6" s="7"/>
      <c r="N6" s="7"/>
    </row>
    <row r="7" spans="1:14" customFormat="1" ht="15.5" customHeight="1">
      <c r="A7" s="42"/>
      <c r="B7" s="52"/>
      <c r="C7" s="52"/>
      <c r="D7" s="52"/>
      <c r="E7" s="52"/>
      <c r="F7" s="52"/>
      <c r="G7" s="52"/>
      <c r="H7" s="52"/>
      <c r="I7" s="52"/>
      <c r="J7" s="63"/>
      <c r="K7" s="63"/>
      <c r="L7" s="7"/>
      <c r="M7" s="7"/>
      <c r="N7" s="7"/>
    </row>
    <row r="8" spans="1:14" customFormat="1" ht="12.5" customHeight="1">
      <c r="A8" s="42"/>
      <c r="B8" s="52"/>
      <c r="C8" s="52"/>
      <c r="D8" s="52"/>
      <c r="E8" s="52"/>
      <c r="F8" s="52"/>
      <c r="G8" s="52"/>
      <c r="H8" s="52"/>
      <c r="I8" s="52"/>
      <c r="J8" s="63"/>
      <c r="K8" s="63"/>
      <c r="L8" s="1"/>
    </row>
    <row r="9" spans="1:14" customFormat="1" ht="13" customHeight="1" thickBot="1">
      <c r="A9" s="42"/>
      <c r="B9" s="53"/>
      <c r="C9" s="53"/>
      <c r="D9" s="53"/>
      <c r="E9" s="53"/>
      <c r="F9" s="53"/>
      <c r="G9" s="53"/>
      <c r="H9" s="53"/>
      <c r="I9" s="53"/>
      <c r="J9" s="64"/>
      <c r="K9" s="64"/>
      <c r="L9" s="1"/>
    </row>
    <row r="10" spans="1:14" s="19" customFormat="1" ht="18.5" thickBot="1">
      <c r="A10" s="43"/>
      <c r="B10" s="49" t="s">
        <v>76</v>
      </c>
      <c r="C10" s="50" t="s">
        <v>73</v>
      </c>
      <c r="D10" s="50" t="s">
        <v>72</v>
      </c>
      <c r="E10" s="50" t="s">
        <v>149</v>
      </c>
      <c r="F10" s="50" t="s">
        <v>71</v>
      </c>
      <c r="G10" s="50" t="s">
        <v>116</v>
      </c>
      <c r="H10" s="50" t="s">
        <v>77</v>
      </c>
      <c r="I10" s="50" t="s">
        <v>61</v>
      </c>
      <c r="J10" s="65" t="s">
        <v>137</v>
      </c>
      <c r="K10" s="66" t="s">
        <v>138</v>
      </c>
      <c r="L10" s="51" t="s">
        <v>139</v>
      </c>
      <c r="M10" s="51" t="s">
        <v>147</v>
      </c>
    </row>
    <row r="11" spans="1:14" customFormat="1" ht="31.5" customHeight="1" thickBot="1">
      <c r="A11" s="42" t="str">
        <f>CONCATENATE(F11,G11)</f>
        <v>IgnifugosBalaclava</v>
      </c>
      <c r="B11" s="9" t="s">
        <v>179</v>
      </c>
      <c r="C11" s="48" t="str">
        <f>IFERROR(VLOOKUP($B$11,TMaestro[#All],2,FALSE),"")</f>
        <v>21.478.965-0</v>
      </c>
      <c r="D11" s="48" t="str">
        <f>IFERROR(VLOOKUP($B$11,TMaestro[#All],6,FALSE),"")</f>
        <v>B</v>
      </c>
      <c r="E11" s="48" t="str">
        <f>IFERROR(VLOOKUP($B$11,TMaestro[#All],8,FALSE),"")</f>
        <v>MANTENCION</v>
      </c>
      <c r="F11" s="10" t="s">
        <v>202</v>
      </c>
      <c r="G11" s="10" t="s">
        <v>84</v>
      </c>
      <c r="H11" s="10" t="s">
        <v>124</v>
      </c>
      <c r="I11" s="11">
        <v>1</v>
      </c>
      <c r="J11" s="67">
        <f>IFERROR(VLOOKUP(A11,EPP!B2:D500,3,FALSE),"0")</f>
        <v>10000</v>
      </c>
      <c r="K11" s="67">
        <f>IFERROR(I11*J11,"0")</f>
        <v>10000</v>
      </c>
      <c r="L11" s="10" t="s">
        <v>85</v>
      </c>
      <c r="M11" s="10" t="s">
        <v>201</v>
      </c>
    </row>
    <row r="12" spans="1:14" customFormat="1">
      <c r="A12" s="42"/>
      <c r="B12" s="6"/>
      <c r="J12" s="20"/>
      <c r="K12" s="20"/>
      <c r="L12" s="1"/>
    </row>
    <row r="13" spans="1:14" customFormat="1">
      <c r="A13" s="42"/>
      <c r="B13" s="6"/>
      <c r="J13" s="20"/>
      <c r="K13" s="20"/>
      <c r="L13" s="1"/>
    </row>
    <row r="14" spans="1:14" customFormat="1">
      <c r="A14" s="42"/>
      <c r="B14" s="6"/>
      <c r="J14" s="20"/>
      <c r="K14" s="20"/>
      <c r="L14" s="1"/>
    </row>
    <row r="15" spans="1:14" customFormat="1">
      <c r="A15" s="42"/>
      <c r="B15" s="6"/>
      <c r="D15" s="2"/>
      <c r="E15" s="2"/>
      <c r="J15" s="20"/>
      <c r="K15" s="20"/>
      <c r="L15" s="1"/>
    </row>
    <row r="16" spans="1:14" customFormat="1" ht="13">
      <c r="A16" s="42"/>
      <c r="B16" s="6"/>
      <c r="C16" s="3"/>
      <c r="D16" s="3"/>
      <c r="E16" s="3"/>
      <c r="F16" s="3"/>
      <c r="G16" s="47"/>
      <c r="H16" s="47"/>
      <c r="I16" s="39">
        <f>SUBTOTAL(9,TRegistros[Cantidad])</f>
        <v>40</v>
      </c>
      <c r="J16" s="68"/>
      <c r="K16" s="68">
        <f>SUBTOTAL(9,TRegistros[Costo Total])</f>
        <v>869760</v>
      </c>
      <c r="L16" s="38"/>
    </row>
    <row r="17" spans="2:13" s="30" customFormat="1" ht="25">
      <c r="B17" s="31" t="s">
        <v>75</v>
      </c>
      <c r="C17" s="31" t="s">
        <v>73</v>
      </c>
      <c r="D17" s="31" t="s">
        <v>60</v>
      </c>
      <c r="E17" s="31" t="s">
        <v>149</v>
      </c>
      <c r="F17" s="31" t="s">
        <v>71</v>
      </c>
      <c r="G17" s="15" t="s">
        <v>130</v>
      </c>
      <c r="H17" s="15" t="s">
        <v>77</v>
      </c>
      <c r="I17" s="15" t="s">
        <v>61</v>
      </c>
      <c r="J17" s="69" t="s">
        <v>137</v>
      </c>
      <c r="K17" s="69" t="s">
        <v>138</v>
      </c>
      <c r="L17" s="32" t="s">
        <v>139</v>
      </c>
      <c r="M17" s="15" t="s">
        <v>82</v>
      </c>
    </row>
    <row r="18" spans="2:13" s="30" customFormat="1" ht="13">
      <c r="B18" s="57" t="s">
        <v>179</v>
      </c>
      <c r="C18" s="57" t="s">
        <v>154</v>
      </c>
      <c r="D18" s="57" t="s">
        <v>41</v>
      </c>
      <c r="E18" s="57" t="s">
        <v>0</v>
      </c>
      <c r="F18" s="57" t="s">
        <v>202</v>
      </c>
      <c r="G18" s="15" t="s">
        <v>84</v>
      </c>
      <c r="H18" s="15" t="s">
        <v>124</v>
      </c>
      <c r="I18" s="15">
        <v>1</v>
      </c>
      <c r="J18" s="69">
        <v>10000</v>
      </c>
      <c r="K18" s="69">
        <v>10000</v>
      </c>
      <c r="L18" s="32" t="s">
        <v>85</v>
      </c>
      <c r="M18" s="15" t="s">
        <v>201</v>
      </c>
    </row>
    <row r="19" spans="2:13" s="30" customFormat="1" ht="13">
      <c r="B19" s="57" t="s">
        <v>198</v>
      </c>
      <c r="C19" s="57" t="s">
        <v>173</v>
      </c>
      <c r="D19" s="57" t="s">
        <v>41</v>
      </c>
      <c r="E19" s="57" t="s">
        <v>1</v>
      </c>
      <c r="F19" s="57" t="s">
        <v>202</v>
      </c>
      <c r="G19" s="15" t="s">
        <v>84</v>
      </c>
      <c r="H19" s="15" t="s">
        <v>124</v>
      </c>
      <c r="I19" s="15">
        <v>1</v>
      </c>
      <c r="J19" s="69">
        <v>10000</v>
      </c>
      <c r="K19" s="69">
        <v>10000</v>
      </c>
      <c r="L19" s="32" t="s">
        <v>85</v>
      </c>
      <c r="M19" s="15" t="s">
        <v>201</v>
      </c>
    </row>
    <row r="20" spans="2:13" s="30" customFormat="1" ht="13">
      <c r="B20" s="57" t="s">
        <v>198</v>
      </c>
      <c r="C20" s="57" t="s">
        <v>173</v>
      </c>
      <c r="D20" s="57" t="s">
        <v>41</v>
      </c>
      <c r="E20" s="57" t="s">
        <v>1</v>
      </c>
      <c r="F20" s="57" t="s">
        <v>202</v>
      </c>
      <c r="G20" s="15" t="s">
        <v>103</v>
      </c>
      <c r="H20" s="15">
        <v>42</v>
      </c>
      <c r="I20" s="15">
        <v>1</v>
      </c>
      <c r="J20" s="69">
        <v>20000</v>
      </c>
      <c r="K20" s="69">
        <v>20000</v>
      </c>
      <c r="L20" s="32" t="s">
        <v>85</v>
      </c>
      <c r="M20" s="15" t="s">
        <v>201</v>
      </c>
    </row>
    <row r="21" spans="2:13" s="30" customFormat="1" ht="13">
      <c r="B21" s="57" t="s">
        <v>192</v>
      </c>
      <c r="C21" s="57" t="s">
        <v>167</v>
      </c>
      <c r="D21" s="57" t="s">
        <v>141</v>
      </c>
      <c r="E21" s="57" t="s">
        <v>18</v>
      </c>
      <c r="F21" s="57" t="s">
        <v>202</v>
      </c>
      <c r="G21" s="15" t="s">
        <v>103</v>
      </c>
      <c r="H21" s="15">
        <v>42</v>
      </c>
      <c r="I21" s="15">
        <v>1</v>
      </c>
      <c r="J21" s="69">
        <v>20000</v>
      </c>
      <c r="K21" s="69">
        <v>20000</v>
      </c>
      <c r="L21" s="32" t="s">
        <v>85</v>
      </c>
      <c r="M21" s="15" t="s">
        <v>201</v>
      </c>
    </row>
    <row r="22" spans="2:13" s="30" customFormat="1" ht="13">
      <c r="B22" s="57" t="s">
        <v>177</v>
      </c>
      <c r="C22" s="57" t="s">
        <v>152</v>
      </c>
      <c r="D22" s="57" t="s">
        <v>141</v>
      </c>
      <c r="E22" s="57" t="s">
        <v>18</v>
      </c>
      <c r="F22" s="57" t="s">
        <v>202</v>
      </c>
      <c r="G22" s="15" t="s">
        <v>103</v>
      </c>
      <c r="H22" s="15">
        <v>42</v>
      </c>
      <c r="I22" s="15">
        <v>1</v>
      </c>
      <c r="J22" s="69">
        <v>20000</v>
      </c>
      <c r="K22" s="69">
        <v>20000</v>
      </c>
      <c r="L22" s="32" t="s">
        <v>85</v>
      </c>
      <c r="M22" s="15" t="s">
        <v>201</v>
      </c>
    </row>
    <row r="23" spans="2:13" s="30" customFormat="1" ht="13">
      <c r="B23" s="57" t="s">
        <v>177</v>
      </c>
      <c r="C23" s="57" t="s">
        <v>152</v>
      </c>
      <c r="D23" s="57" t="s">
        <v>141</v>
      </c>
      <c r="E23" s="57" t="s">
        <v>18</v>
      </c>
      <c r="F23" s="57" t="s">
        <v>99</v>
      </c>
      <c r="G23" s="15" t="s">
        <v>101</v>
      </c>
      <c r="H23" s="15" t="s">
        <v>8</v>
      </c>
      <c r="I23" s="15">
        <v>1</v>
      </c>
      <c r="J23" s="69">
        <v>27000</v>
      </c>
      <c r="K23" s="69">
        <v>27000</v>
      </c>
      <c r="L23" s="32" t="s">
        <v>85</v>
      </c>
      <c r="M23" s="15" t="s">
        <v>201</v>
      </c>
    </row>
    <row r="24" spans="2:13" s="30" customFormat="1" ht="13">
      <c r="B24" s="57" t="s">
        <v>195</v>
      </c>
      <c r="C24" s="57" t="s">
        <v>170</v>
      </c>
      <c r="D24" s="57" t="s">
        <v>142</v>
      </c>
      <c r="E24" s="57" t="s">
        <v>0</v>
      </c>
      <c r="F24" s="57" t="s">
        <v>99</v>
      </c>
      <c r="G24" s="15" t="s">
        <v>101</v>
      </c>
      <c r="H24" s="15" t="s">
        <v>8</v>
      </c>
      <c r="I24" s="15">
        <v>1</v>
      </c>
      <c r="J24" s="69">
        <v>27000</v>
      </c>
      <c r="K24" s="69">
        <v>27000</v>
      </c>
      <c r="L24" s="32" t="s">
        <v>203</v>
      </c>
      <c r="M24" s="15" t="s">
        <v>201</v>
      </c>
    </row>
    <row r="25" spans="2:13" s="30" customFormat="1" ht="13">
      <c r="B25" s="57" t="s">
        <v>189</v>
      </c>
      <c r="C25" s="57" t="s">
        <v>164</v>
      </c>
      <c r="D25" s="57" t="s">
        <v>143</v>
      </c>
      <c r="E25" s="57" t="s">
        <v>18</v>
      </c>
      <c r="F25" s="57" t="s">
        <v>99</v>
      </c>
      <c r="G25" s="15" t="s">
        <v>101</v>
      </c>
      <c r="H25" s="15" t="s">
        <v>8</v>
      </c>
      <c r="I25" s="15">
        <v>1</v>
      </c>
      <c r="J25" s="69">
        <v>27000</v>
      </c>
      <c r="K25" s="69">
        <v>27000</v>
      </c>
      <c r="L25" s="32" t="s">
        <v>203</v>
      </c>
      <c r="M25" s="15" t="s">
        <v>201</v>
      </c>
    </row>
    <row r="26" spans="2:13" s="30" customFormat="1" ht="13">
      <c r="B26" s="57" t="s">
        <v>189</v>
      </c>
      <c r="C26" s="57" t="s">
        <v>164</v>
      </c>
      <c r="D26" s="57" t="s">
        <v>143</v>
      </c>
      <c r="E26" s="57" t="s">
        <v>18</v>
      </c>
      <c r="F26" s="57" t="s">
        <v>99</v>
      </c>
      <c r="G26" s="15" t="s">
        <v>101</v>
      </c>
      <c r="H26" s="15" t="s">
        <v>8</v>
      </c>
      <c r="I26" s="15">
        <v>1</v>
      </c>
      <c r="J26" s="69">
        <v>27000</v>
      </c>
      <c r="K26" s="69">
        <v>27000</v>
      </c>
      <c r="L26" s="32" t="s">
        <v>203</v>
      </c>
      <c r="M26" s="15" t="s">
        <v>201</v>
      </c>
    </row>
    <row r="27" spans="2:13" s="30" customFormat="1" ht="13">
      <c r="B27" s="57" t="s">
        <v>189</v>
      </c>
      <c r="C27" s="57" t="s">
        <v>164</v>
      </c>
      <c r="D27" s="57" t="s">
        <v>143</v>
      </c>
      <c r="E27" s="57" t="s">
        <v>18</v>
      </c>
      <c r="F27" s="57" t="s">
        <v>133</v>
      </c>
      <c r="G27" s="15" t="s">
        <v>98</v>
      </c>
      <c r="H27" s="15" t="s">
        <v>62</v>
      </c>
      <c r="I27" s="15">
        <v>1</v>
      </c>
      <c r="J27" s="69">
        <v>38000</v>
      </c>
      <c r="K27" s="69">
        <v>38000</v>
      </c>
      <c r="L27" s="32" t="s">
        <v>203</v>
      </c>
      <c r="M27" s="15" t="s">
        <v>201</v>
      </c>
    </row>
    <row r="28" spans="2:13" s="30" customFormat="1" ht="13">
      <c r="B28" s="57" t="s">
        <v>189</v>
      </c>
      <c r="C28" s="57" t="s">
        <v>164</v>
      </c>
      <c r="D28" s="57" t="s">
        <v>143</v>
      </c>
      <c r="E28" s="57" t="s">
        <v>18</v>
      </c>
      <c r="F28" s="57" t="s">
        <v>93</v>
      </c>
      <c r="G28" s="15" t="s">
        <v>126</v>
      </c>
      <c r="H28" s="15">
        <v>35</v>
      </c>
      <c r="I28" s="15">
        <v>1</v>
      </c>
      <c r="J28" s="69">
        <v>8950</v>
      </c>
      <c r="K28" s="69">
        <v>8950</v>
      </c>
      <c r="L28" s="32" t="s">
        <v>203</v>
      </c>
      <c r="M28" s="15" t="s">
        <v>201</v>
      </c>
    </row>
    <row r="29" spans="2:13" s="30" customFormat="1" ht="13">
      <c r="B29" s="57" t="s">
        <v>199</v>
      </c>
      <c r="C29" s="57" t="s">
        <v>174</v>
      </c>
      <c r="D29" s="57" t="s">
        <v>142</v>
      </c>
      <c r="E29" s="57" t="s">
        <v>55</v>
      </c>
      <c r="F29" s="57" t="s">
        <v>78</v>
      </c>
      <c r="G29" s="15" t="s">
        <v>94</v>
      </c>
      <c r="H29" s="15">
        <v>43</v>
      </c>
      <c r="I29" s="15">
        <v>1</v>
      </c>
      <c r="J29" s="69">
        <v>47790</v>
      </c>
      <c r="K29" s="69">
        <v>47790</v>
      </c>
      <c r="L29" s="32" t="s">
        <v>203</v>
      </c>
      <c r="M29" s="15" t="s">
        <v>201</v>
      </c>
    </row>
    <row r="30" spans="2:13" s="30" customFormat="1" ht="13">
      <c r="B30" s="57" t="s">
        <v>188</v>
      </c>
      <c r="C30" s="57" t="s">
        <v>163</v>
      </c>
      <c r="D30" s="57" t="s">
        <v>141</v>
      </c>
      <c r="E30" s="57" t="s">
        <v>18</v>
      </c>
      <c r="F30" s="57" t="s">
        <v>90</v>
      </c>
      <c r="G30" s="15" t="s">
        <v>108</v>
      </c>
      <c r="H30" s="15" t="s">
        <v>8</v>
      </c>
      <c r="I30" s="15">
        <v>2</v>
      </c>
      <c r="J30" s="69">
        <v>16450</v>
      </c>
      <c r="K30" s="69">
        <v>32900</v>
      </c>
      <c r="L30" s="32" t="s">
        <v>203</v>
      </c>
      <c r="M30" s="15" t="s">
        <v>201</v>
      </c>
    </row>
    <row r="31" spans="2:13" s="30" customFormat="1" ht="13">
      <c r="B31" s="57" t="s">
        <v>192</v>
      </c>
      <c r="C31" s="57" t="s">
        <v>167</v>
      </c>
      <c r="D31" s="57" t="s">
        <v>141</v>
      </c>
      <c r="E31" s="57" t="s">
        <v>18</v>
      </c>
      <c r="F31" s="57" t="s">
        <v>90</v>
      </c>
      <c r="G31" s="15" t="s">
        <v>108</v>
      </c>
      <c r="H31" s="15" t="s">
        <v>8</v>
      </c>
      <c r="I31" s="15">
        <v>2</v>
      </c>
      <c r="J31" s="69">
        <v>16450</v>
      </c>
      <c r="K31" s="69">
        <v>32900</v>
      </c>
      <c r="L31" s="32" t="s">
        <v>203</v>
      </c>
      <c r="M31" s="15" t="s">
        <v>201</v>
      </c>
    </row>
    <row r="32" spans="2:13" s="30" customFormat="1" ht="13">
      <c r="B32" s="57" t="s">
        <v>183</v>
      </c>
      <c r="C32" s="57" t="s">
        <v>158</v>
      </c>
      <c r="D32" s="57" t="s">
        <v>41</v>
      </c>
      <c r="E32" s="57" t="s">
        <v>18</v>
      </c>
      <c r="F32" s="57" t="s">
        <v>90</v>
      </c>
      <c r="G32" s="15" t="s">
        <v>108</v>
      </c>
      <c r="H32" s="15" t="s">
        <v>8</v>
      </c>
      <c r="I32" s="15">
        <v>2</v>
      </c>
      <c r="J32" s="69">
        <v>16450</v>
      </c>
      <c r="K32" s="69">
        <v>32900</v>
      </c>
      <c r="L32" s="32" t="s">
        <v>203</v>
      </c>
      <c r="M32" s="15" t="s">
        <v>201</v>
      </c>
    </row>
    <row r="33" spans="2:13" s="30" customFormat="1" ht="13">
      <c r="B33" s="57" t="s">
        <v>176</v>
      </c>
      <c r="C33" s="57" t="s">
        <v>150</v>
      </c>
      <c r="D33" s="57" t="s">
        <v>142</v>
      </c>
      <c r="E33" s="57" t="s">
        <v>18</v>
      </c>
      <c r="F33" s="57" t="s">
        <v>90</v>
      </c>
      <c r="G33" s="15" t="s">
        <v>108</v>
      </c>
      <c r="H33" s="15" t="s">
        <v>8</v>
      </c>
      <c r="I33" s="15">
        <v>2</v>
      </c>
      <c r="J33" s="69">
        <v>16450</v>
      </c>
      <c r="K33" s="69">
        <v>32900</v>
      </c>
      <c r="L33" s="32" t="s">
        <v>203</v>
      </c>
      <c r="M33" s="15" t="s">
        <v>201</v>
      </c>
    </row>
    <row r="34" spans="2:13" s="30" customFormat="1" ht="13">
      <c r="B34" s="57" t="s">
        <v>176</v>
      </c>
      <c r="C34" s="57" t="s">
        <v>150</v>
      </c>
      <c r="D34" s="57" t="s">
        <v>142</v>
      </c>
      <c r="E34" s="57" t="s">
        <v>18</v>
      </c>
      <c r="F34" s="57" t="s">
        <v>91</v>
      </c>
      <c r="G34" s="15" t="s">
        <v>112</v>
      </c>
      <c r="H34" s="15" t="s">
        <v>8</v>
      </c>
      <c r="I34" s="15">
        <v>2</v>
      </c>
      <c r="J34" s="69">
        <v>24680</v>
      </c>
      <c r="K34" s="69">
        <v>49360</v>
      </c>
      <c r="L34" s="32" t="s">
        <v>203</v>
      </c>
      <c r="M34" s="15" t="s">
        <v>201</v>
      </c>
    </row>
    <row r="35" spans="2:13" s="30" customFormat="1" ht="13">
      <c r="B35" s="57" t="s">
        <v>178</v>
      </c>
      <c r="C35" s="57" t="s">
        <v>153</v>
      </c>
      <c r="D35" s="57" t="s">
        <v>143</v>
      </c>
      <c r="E35" s="57" t="s">
        <v>18</v>
      </c>
      <c r="F35" s="57" t="s">
        <v>91</v>
      </c>
      <c r="G35" s="15" t="s">
        <v>113</v>
      </c>
      <c r="H35" s="15" t="s">
        <v>8</v>
      </c>
      <c r="I35" s="15">
        <v>1</v>
      </c>
      <c r="J35" s="69">
        <v>24680</v>
      </c>
      <c r="K35" s="69">
        <v>24680</v>
      </c>
      <c r="L35" s="32" t="s">
        <v>203</v>
      </c>
      <c r="M35" s="15" t="s">
        <v>201</v>
      </c>
    </row>
    <row r="36" spans="2:13" ht="13">
      <c r="B36" s="57" t="s">
        <v>195</v>
      </c>
      <c r="C36" s="57" t="s">
        <v>170</v>
      </c>
      <c r="D36" s="57" t="s">
        <v>142</v>
      </c>
      <c r="E36" s="57" t="s">
        <v>0</v>
      </c>
      <c r="F36" s="57" t="s">
        <v>99</v>
      </c>
      <c r="G36" s="15" t="s">
        <v>101</v>
      </c>
      <c r="H36" s="15" t="s">
        <v>8</v>
      </c>
      <c r="I36" s="15">
        <v>1</v>
      </c>
      <c r="J36" s="69">
        <v>27000</v>
      </c>
      <c r="K36" s="69">
        <v>27000</v>
      </c>
      <c r="L36" s="32" t="s">
        <v>85</v>
      </c>
      <c r="M36" s="15" t="s">
        <v>201</v>
      </c>
    </row>
    <row r="37" spans="2:13" ht="13">
      <c r="B37" s="57" t="s">
        <v>189</v>
      </c>
      <c r="C37" s="57" t="s">
        <v>164</v>
      </c>
      <c r="D37" s="57" t="s">
        <v>143</v>
      </c>
      <c r="E37" s="57" t="s">
        <v>18</v>
      </c>
      <c r="F37" s="57" t="s">
        <v>99</v>
      </c>
      <c r="G37" s="15" t="s">
        <v>101</v>
      </c>
      <c r="H37" s="15" t="s">
        <v>8</v>
      </c>
      <c r="I37" s="15">
        <v>1</v>
      </c>
      <c r="J37" s="69">
        <v>27000</v>
      </c>
      <c r="K37" s="69">
        <v>27000</v>
      </c>
      <c r="L37" s="32" t="s">
        <v>85</v>
      </c>
      <c r="M37" s="15" t="s">
        <v>201</v>
      </c>
    </row>
    <row r="38" spans="2:13" ht="13">
      <c r="B38" s="57" t="s">
        <v>189</v>
      </c>
      <c r="C38" s="57" t="s">
        <v>164</v>
      </c>
      <c r="D38" s="57" t="s">
        <v>143</v>
      </c>
      <c r="E38" s="57" t="s">
        <v>18</v>
      </c>
      <c r="F38" s="57" t="s">
        <v>99</v>
      </c>
      <c r="G38" s="15" t="s">
        <v>101</v>
      </c>
      <c r="H38" s="15" t="s">
        <v>8</v>
      </c>
      <c r="I38" s="15">
        <v>1</v>
      </c>
      <c r="J38" s="69">
        <v>27000</v>
      </c>
      <c r="K38" s="69">
        <v>27000</v>
      </c>
      <c r="L38" s="32" t="s">
        <v>85</v>
      </c>
      <c r="M38" s="15" t="s">
        <v>201</v>
      </c>
    </row>
    <row r="39" spans="2:13" ht="13">
      <c r="B39" s="57" t="s">
        <v>189</v>
      </c>
      <c r="C39" s="57" t="s">
        <v>164</v>
      </c>
      <c r="D39" s="57" t="s">
        <v>143</v>
      </c>
      <c r="E39" s="57" t="s">
        <v>18</v>
      </c>
      <c r="F39" s="57" t="s">
        <v>133</v>
      </c>
      <c r="G39" s="15" t="s">
        <v>98</v>
      </c>
      <c r="H39" s="15" t="s">
        <v>62</v>
      </c>
      <c r="I39" s="15">
        <v>1</v>
      </c>
      <c r="J39" s="69">
        <v>38000</v>
      </c>
      <c r="K39" s="69">
        <v>38000</v>
      </c>
      <c r="L39" s="32" t="s">
        <v>85</v>
      </c>
      <c r="M39" s="15" t="s">
        <v>201</v>
      </c>
    </row>
    <row r="40" spans="2:13" ht="13">
      <c r="B40" s="57" t="s">
        <v>189</v>
      </c>
      <c r="C40" s="57" t="s">
        <v>164</v>
      </c>
      <c r="D40" s="57" t="s">
        <v>143</v>
      </c>
      <c r="E40" s="57" t="s">
        <v>18</v>
      </c>
      <c r="F40" s="57" t="s">
        <v>93</v>
      </c>
      <c r="G40" s="15" t="s">
        <v>126</v>
      </c>
      <c r="H40" s="15">
        <v>35</v>
      </c>
      <c r="I40" s="15">
        <v>1</v>
      </c>
      <c r="J40" s="69">
        <v>8950</v>
      </c>
      <c r="K40" s="69">
        <v>8950</v>
      </c>
      <c r="L40" s="32" t="s">
        <v>85</v>
      </c>
      <c r="M40" s="15" t="s">
        <v>201</v>
      </c>
    </row>
    <row r="41" spans="2:13" ht="13">
      <c r="B41" s="57" t="s">
        <v>199</v>
      </c>
      <c r="C41" s="57" t="s">
        <v>174</v>
      </c>
      <c r="D41" s="57" t="s">
        <v>142</v>
      </c>
      <c r="E41" s="57" t="s">
        <v>55</v>
      </c>
      <c r="F41" s="57" t="s">
        <v>78</v>
      </c>
      <c r="G41" s="15" t="s">
        <v>94</v>
      </c>
      <c r="H41" s="15">
        <v>43</v>
      </c>
      <c r="I41" s="15">
        <v>1</v>
      </c>
      <c r="J41" s="69">
        <v>47790</v>
      </c>
      <c r="K41" s="69">
        <v>47790</v>
      </c>
      <c r="L41" s="32" t="s">
        <v>85</v>
      </c>
      <c r="M41" s="15" t="s">
        <v>201</v>
      </c>
    </row>
    <row r="42" spans="2:13" ht="13">
      <c r="B42" s="57" t="s">
        <v>188</v>
      </c>
      <c r="C42" s="57" t="s">
        <v>163</v>
      </c>
      <c r="D42" s="57" t="s">
        <v>141</v>
      </c>
      <c r="E42" s="57" t="s">
        <v>18</v>
      </c>
      <c r="F42" s="57" t="s">
        <v>90</v>
      </c>
      <c r="G42" s="15" t="s">
        <v>108</v>
      </c>
      <c r="H42" s="15" t="s">
        <v>8</v>
      </c>
      <c r="I42" s="15">
        <v>2</v>
      </c>
      <c r="J42" s="69">
        <v>16450</v>
      </c>
      <c r="K42" s="69">
        <v>32900</v>
      </c>
      <c r="L42" s="32" t="s">
        <v>85</v>
      </c>
      <c r="M42" s="15" t="s">
        <v>201</v>
      </c>
    </row>
    <row r="43" spans="2:13" ht="13">
      <c r="B43" s="57" t="s">
        <v>192</v>
      </c>
      <c r="C43" s="57" t="s">
        <v>167</v>
      </c>
      <c r="D43" s="57" t="s">
        <v>141</v>
      </c>
      <c r="E43" s="57" t="s">
        <v>18</v>
      </c>
      <c r="F43" s="57" t="s">
        <v>90</v>
      </c>
      <c r="G43" s="15" t="s">
        <v>108</v>
      </c>
      <c r="H43" s="15" t="s">
        <v>8</v>
      </c>
      <c r="I43" s="15">
        <v>2</v>
      </c>
      <c r="J43" s="69">
        <v>16450</v>
      </c>
      <c r="K43" s="69">
        <v>32900</v>
      </c>
      <c r="L43" s="32" t="s">
        <v>85</v>
      </c>
      <c r="M43" s="15" t="s">
        <v>201</v>
      </c>
    </row>
    <row r="44" spans="2:13" ht="13">
      <c r="B44" s="57" t="s">
        <v>183</v>
      </c>
      <c r="C44" s="57" t="s">
        <v>158</v>
      </c>
      <c r="D44" s="57" t="s">
        <v>41</v>
      </c>
      <c r="E44" s="57" t="s">
        <v>18</v>
      </c>
      <c r="F44" s="57" t="s">
        <v>90</v>
      </c>
      <c r="G44" s="15" t="s">
        <v>108</v>
      </c>
      <c r="H44" s="15" t="s">
        <v>8</v>
      </c>
      <c r="I44" s="15">
        <v>2</v>
      </c>
      <c r="J44" s="69">
        <v>16450</v>
      </c>
      <c r="K44" s="69">
        <v>32900</v>
      </c>
      <c r="L44" s="32" t="s">
        <v>85</v>
      </c>
      <c r="M44" s="15" t="s">
        <v>201</v>
      </c>
    </row>
    <row r="45" spans="2:13" ht="13">
      <c r="B45" s="57" t="s">
        <v>176</v>
      </c>
      <c r="C45" s="57" t="s">
        <v>150</v>
      </c>
      <c r="D45" s="57" t="s">
        <v>142</v>
      </c>
      <c r="E45" s="57" t="s">
        <v>18</v>
      </c>
      <c r="F45" s="57" t="s">
        <v>90</v>
      </c>
      <c r="G45" s="15" t="s">
        <v>108</v>
      </c>
      <c r="H45" s="15" t="s">
        <v>8</v>
      </c>
      <c r="I45" s="15">
        <v>2</v>
      </c>
      <c r="J45" s="69">
        <v>16450</v>
      </c>
      <c r="K45" s="69">
        <v>32900</v>
      </c>
      <c r="L45" s="32" t="s">
        <v>85</v>
      </c>
      <c r="M45" s="15" t="s">
        <v>201</v>
      </c>
    </row>
    <row r="46" spans="2:13" ht="13">
      <c r="B46" s="57" t="s">
        <v>176</v>
      </c>
      <c r="C46" s="57" t="s">
        <v>150</v>
      </c>
      <c r="D46" s="57" t="s">
        <v>142</v>
      </c>
      <c r="E46" s="57" t="s">
        <v>18</v>
      </c>
      <c r="F46" s="57" t="s">
        <v>91</v>
      </c>
      <c r="G46" s="15" t="s">
        <v>112</v>
      </c>
      <c r="H46" s="15" t="s">
        <v>8</v>
      </c>
      <c r="I46" s="15">
        <v>2</v>
      </c>
      <c r="J46" s="69">
        <v>24680</v>
      </c>
      <c r="K46" s="69">
        <v>49360</v>
      </c>
      <c r="L46" s="32" t="s">
        <v>85</v>
      </c>
      <c r="M46" s="15" t="s">
        <v>201</v>
      </c>
    </row>
    <row r="47" spans="2:13" ht="13">
      <c r="B47" s="57" t="s">
        <v>178</v>
      </c>
      <c r="C47" s="57" t="s">
        <v>153</v>
      </c>
      <c r="D47" s="57" t="s">
        <v>143</v>
      </c>
      <c r="E47" s="57" t="s">
        <v>18</v>
      </c>
      <c r="F47" s="57" t="s">
        <v>91</v>
      </c>
      <c r="G47" s="15" t="s">
        <v>113</v>
      </c>
      <c r="H47" s="15" t="s">
        <v>8</v>
      </c>
      <c r="I47" s="15">
        <v>1</v>
      </c>
      <c r="J47" s="69">
        <v>24680</v>
      </c>
      <c r="K47" s="69">
        <v>24680</v>
      </c>
      <c r="L47" s="32" t="s">
        <v>85</v>
      </c>
      <c r="M47" s="15" t="s">
        <v>201</v>
      </c>
    </row>
  </sheetData>
  <sheetProtection formatCells="0" insertRows="0" deleteRows="0" autoFilter="0"/>
  <mergeCells count="1">
    <mergeCell ref="A1:M1"/>
  </mergeCells>
  <conditionalFormatting sqref="K18:L47">
    <cfRule type="containsText" dxfId="331" priority="4" operator="containsText" text="NO">
      <formula>NOT(ISERROR(SEARCH("NO",K18)))</formula>
    </cfRule>
    <cfRule type="containsText" dxfId="330" priority="5" operator="containsText" text="SI">
      <formula>NOT(ISERROR(SEARCH("SI",K18)))</formula>
    </cfRule>
  </conditionalFormatting>
  <dataValidations count="3">
    <dataValidation type="whole" allowBlank="1" showInputMessage="1" showErrorMessage="1" sqref="I11" xr:uid="{00000000-0002-0000-0000-000000000000}">
      <formula1>1</formula1>
      <formula2>100</formula2>
    </dataValidation>
    <dataValidation type="list" allowBlank="1" showInputMessage="1" showErrorMessage="1" sqref="G11" xr:uid="{00000000-0002-0000-0000-000001000000}">
      <formula1>INDIRECT($F$11)</formula1>
    </dataValidation>
    <dataValidation type="list" allowBlank="1" showInputMessage="1" showErrorMessage="1" sqref="H11" xr:uid="{00000000-0002-0000-0000-000002000000}">
      <formula1>INDIRECT($G$11)</formula1>
    </dataValidation>
  </dataValidations>
  <pageMargins left="0.24" right="0.17" top="0.75" bottom="0.75" header="0.3" footer="0.3"/>
  <pageSetup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3000000}">
          <x14:formula1>
            <xm:f>EPP!$H$1:$Z$1</xm:f>
          </x14:formula1>
          <xm:sqref>F11</xm:sqref>
        </x14:dataValidation>
        <x14:dataValidation type="list" allowBlank="1" showInputMessage="1" showErrorMessage="1" xr:uid="{9978AE1B-E580-4824-ACEB-2B09DDEEE99F}">
          <x14:formula1>
            <xm:f>EPP!$H$10:$H$11</xm:f>
          </x14:formula1>
          <xm:sqref>L11</xm:sqref>
        </x14:dataValidation>
        <x14:dataValidation type="list" allowBlank="1" showInputMessage="1" showErrorMessage="1" xr:uid="{ABBA9DDB-1EEB-48D4-AEA3-FB722D24D5E3}">
          <x14:formula1>
            <xm:f>Maestro!$B$6:$B$100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B3:O30"/>
  <sheetViews>
    <sheetView showGridLines="0" showRowColHeaders="0" zoomScale="70" zoomScaleNormal="70" workbookViewId="0">
      <selection activeCell="E43" sqref="E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5"/>
  <cols>
    <col min="2" max="2" width="33.81640625" bestFit="1" customWidth="1"/>
    <col min="3" max="3" width="11.54296875" bestFit="1" customWidth="1"/>
    <col min="4" max="4" width="37.36328125" bestFit="1" customWidth="1"/>
    <col min="5" max="5" width="17.6328125" bestFit="1" customWidth="1"/>
    <col min="6" max="6" width="9.453125" bestFit="1" customWidth="1"/>
    <col min="7" max="7" width="8.26953125" bestFit="1" customWidth="1"/>
    <col min="8" max="8" width="17.54296875" bestFit="1" customWidth="1"/>
    <col min="9" max="9" width="30.7265625" bestFit="1" customWidth="1"/>
    <col min="10" max="10" width="17.26953125" bestFit="1" customWidth="1"/>
    <col min="11" max="11" width="18.7265625" bestFit="1" customWidth="1"/>
    <col min="12" max="12" width="25.90625" bestFit="1" customWidth="1"/>
    <col min="15" max="15" width="38.81640625" customWidth="1"/>
  </cols>
  <sheetData>
    <row r="3" spans="2:15">
      <c r="G3" s="41"/>
    </row>
    <row r="5" spans="2:15" s="4" customFormat="1" ht="23.5" customHeight="1">
      <c r="B5" s="4" t="s">
        <v>74</v>
      </c>
      <c r="C5" s="4" t="s">
        <v>151</v>
      </c>
      <c r="D5" s="4" t="s">
        <v>56</v>
      </c>
      <c r="E5" s="4" t="s">
        <v>14</v>
      </c>
      <c r="F5" s="4" t="s">
        <v>7</v>
      </c>
      <c r="G5" s="4" t="s">
        <v>60</v>
      </c>
      <c r="H5" s="4" t="s">
        <v>12</v>
      </c>
      <c r="I5" s="4" t="s">
        <v>13</v>
      </c>
      <c r="J5" s="4" t="s">
        <v>57</v>
      </c>
      <c r="K5" s="4" t="s">
        <v>58</v>
      </c>
      <c r="L5" s="4" t="s">
        <v>59</v>
      </c>
      <c r="O5" s="5"/>
    </row>
    <row r="6" spans="2:15">
      <c r="B6" s="2" t="s">
        <v>176</v>
      </c>
      <c r="C6" s="2" t="s">
        <v>150</v>
      </c>
      <c r="D6" t="s">
        <v>30</v>
      </c>
      <c r="E6" t="s">
        <v>6</v>
      </c>
      <c r="F6" t="s">
        <v>8</v>
      </c>
      <c r="G6" s="2" t="s">
        <v>142</v>
      </c>
      <c r="H6">
        <v>20</v>
      </c>
      <c r="I6" t="s">
        <v>18</v>
      </c>
      <c r="J6" t="s">
        <v>44</v>
      </c>
      <c r="K6" t="s">
        <v>45</v>
      </c>
      <c r="L6" t="s">
        <v>25</v>
      </c>
    </row>
    <row r="7" spans="2:15">
      <c r="B7" s="2" t="s">
        <v>177</v>
      </c>
      <c r="C7" s="2" t="s">
        <v>152</v>
      </c>
      <c r="D7" t="s">
        <v>21</v>
      </c>
      <c r="E7" t="s">
        <v>6</v>
      </c>
      <c r="F7" t="s">
        <v>8</v>
      </c>
      <c r="G7" s="2" t="s">
        <v>141</v>
      </c>
      <c r="H7">
        <v>20</v>
      </c>
      <c r="I7" t="s">
        <v>18</v>
      </c>
      <c r="J7" t="s">
        <v>44</v>
      </c>
      <c r="K7" t="s">
        <v>45</v>
      </c>
      <c r="L7" t="s">
        <v>25</v>
      </c>
    </row>
    <row r="8" spans="2:15">
      <c r="B8" s="2" t="s">
        <v>178</v>
      </c>
      <c r="C8" s="2" t="s">
        <v>153</v>
      </c>
      <c r="D8" t="s">
        <v>21</v>
      </c>
      <c r="E8" t="s">
        <v>6</v>
      </c>
      <c r="F8" t="s">
        <v>8</v>
      </c>
      <c r="G8" s="2" t="s">
        <v>143</v>
      </c>
      <c r="H8">
        <v>20</v>
      </c>
      <c r="I8" t="s">
        <v>18</v>
      </c>
      <c r="J8" t="s">
        <v>44</v>
      </c>
      <c r="K8" t="s">
        <v>47</v>
      </c>
      <c r="L8" t="s">
        <v>24</v>
      </c>
    </row>
    <row r="9" spans="2:15">
      <c r="B9" s="2" t="s">
        <v>179</v>
      </c>
      <c r="C9" s="2" t="s">
        <v>154</v>
      </c>
      <c r="D9" t="s">
        <v>15</v>
      </c>
      <c r="E9" t="s">
        <v>6</v>
      </c>
      <c r="F9" t="s">
        <v>8</v>
      </c>
      <c r="G9" s="2" t="s">
        <v>41</v>
      </c>
      <c r="H9">
        <v>10</v>
      </c>
      <c r="I9" t="s">
        <v>0</v>
      </c>
      <c r="J9" t="s">
        <v>10</v>
      </c>
      <c r="K9" t="s">
        <v>53</v>
      </c>
      <c r="L9" t="s">
        <v>10</v>
      </c>
    </row>
    <row r="10" spans="2:15">
      <c r="B10" s="2" t="s">
        <v>180</v>
      </c>
      <c r="C10" s="2" t="s">
        <v>155</v>
      </c>
      <c r="D10" t="s">
        <v>17</v>
      </c>
      <c r="E10" t="s">
        <v>6</v>
      </c>
      <c r="F10" t="s">
        <v>8</v>
      </c>
      <c r="G10" s="2" t="s">
        <v>141</v>
      </c>
      <c r="H10">
        <v>12</v>
      </c>
      <c r="I10" t="s">
        <v>18</v>
      </c>
      <c r="J10" t="s">
        <v>44</v>
      </c>
      <c r="K10" t="s">
        <v>46</v>
      </c>
      <c r="L10" t="s">
        <v>20</v>
      </c>
    </row>
    <row r="11" spans="2:15">
      <c r="B11" s="2" t="s">
        <v>181</v>
      </c>
      <c r="C11" s="2" t="s">
        <v>156</v>
      </c>
      <c r="D11" t="s">
        <v>23</v>
      </c>
      <c r="E11" s="2" t="s">
        <v>6</v>
      </c>
      <c r="F11" t="s">
        <v>8</v>
      </c>
      <c r="G11" s="2" t="s">
        <v>142</v>
      </c>
      <c r="H11">
        <v>17</v>
      </c>
      <c r="I11" t="s">
        <v>18</v>
      </c>
      <c r="J11" t="s">
        <v>44</v>
      </c>
      <c r="K11" t="s">
        <v>46</v>
      </c>
      <c r="L11" t="s">
        <v>32</v>
      </c>
    </row>
    <row r="12" spans="2:15">
      <c r="B12" s="2" t="s">
        <v>182</v>
      </c>
      <c r="C12" s="2" t="s">
        <v>157</v>
      </c>
      <c r="D12" t="s">
        <v>29</v>
      </c>
      <c r="E12" t="s">
        <v>6</v>
      </c>
      <c r="F12" t="s">
        <v>8</v>
      </c>
      <c r="G12" s="2" t="s">
        <v>143</v>
      </c>
      <c r="H12">
        <v>19</v>
      </c>
      <c r="I12" t="s">
        <v>68</v>
      </c>
      <c r="J12" t="s">
        <v>42</v>
      </c>
      <c r="K12" t="s">
        <v>42</v>
      </c>
      <c r="L12" t="s">
        <v>69</v>
      </c>
    </row>
    <row r="13" spans="2:15">
      <c r="B13" s="2" t="s">
        <v>183</v>
      </c>
      <c r="C13" s="2" t="s">
        <v>158</v>
      </c>
      <c r="D13" t="s">
        <v>17</v>
      </c>
      <c r="E13" t="s">
        <v>6</v>
      </c>
      <c r="F13" t="s">
        <v>8</v>
      </c>
      <c r="G13" s="2" t="s">
        <v>41</v>
      </c>
      <c r="H13">
        <v>16</v>
      </c>
      <c r="I13" t="s">
        <v>18</v>
      </c>
      <c r="J13" t="s">
        <v>44</v>
      </c>
      <c r="K13" t="s">
        <v>46</v>
      </c>
      <c r="L13" t="s">
        <v>20</v>
      </c>
    </row>
    <row r="14" spans="2:15">
      <c r="B14" s="2" t="s">
        <v>184</v>
      </c>
      <c r="C14" s="2" t="s">
        <v>159</v>
      </c>
      <c r="D14" t="s">
        <v>54</v>
      </c>
      <c r="E14" t="s">
        <v>6</v>
      </c>
      <c r="F14" t="s">
        <v>8</v>
      </c>
      <c r="G14" s="2" t="s">
        <v>141</v>
      </c>
      <c r="H14">
        <v>14</v>
      </c>
      <c r="I14" t="s">
        <v>22</v>
      </c>
      <c r="J14" t="s">
        <v>10</v>
      </c>
      <c r="K14" t="s">
        <v>48</v>
      </c>
      <c r="L14" t="s">
        <v>4</v>
      </c>
    </row>
    <row r="15" spans="2:15">
      <c r="B15" s="2" t="s">
        <v>185</v>
      </c>
      <c r="C15" s="2" t="s">
        <v>160</v>
      </c>
      <c r="D15" t="s">
        <v>39</v>
      </c>
      <c r="E15" t="s">
        <v>6</v>
      </c>
      <c r="F15" t="s">
        <v>9</v>
      </c>
      <c r="G15" s="2" t="s">
        <v>143</v>
      </c>
      <c r="H15">
        <v>18</v>
      </c>
      <c r="I15" t="s">
        <v>27</v>
      </c>
      <c r="J15" t="s">
        <v>11</v>
      </c>
      <c r="K15" t="s">
        <v>11</v>
      </c>
      <c r="L15" t="s">
        <v>11</v>
      </c>
    </row>
    <row r="16" spans="2:15">
      <c r="B16" s="2" t="s">
        <v>186</v>
      </c>
      <c r="C16" s="2" t="s">
        <v>161</v>
      </c>
      <c r="D16" t="s">
        <v>40</v>
      </c>
      <c r="E16" t="s">
        <v>6</v>
      </c>
      <c r="F16" t="s">
        <v>8</v>
      </c>
      <c r="G16" s="2" t="s">
        <v>41</v>
      </c>
      <c r="H16">
        <v>15</v>
      </c>
      <c r="I16" t="s">
        <v>70</v>
      </c>
      <c r="J16" t="s">
        <v>44</v>
      </c>
      <c r="K16" t="s">
        <v>26</v>
      </c>
      <c r="L16" t="s">
        <v>19</v>
      </c>
    </row>
    <row r="17" spans="2:12">
      <c r="B17" s="2" t="s">
        <v>187</v>
      </c>
      <c r="C17" s="2" t="s">
        <v>162</v>
      </c>
      <c r="D17" t="s">
        <v>38</v>
      </c>
      <c r="E17" t="s">
        <v>6</v>
      </c>
      <c r="F17" t="s">
        <v>9</v>
      </c>
      <c r="G17" s="2" t="s">
        <v>142</v>
      </c>
      <c r="H17">
        <v>11</v>
      </c>
      <c r="I17" t="s">
        <v>22</v>
      </c>
      <c r="J17" t="s">
        <v>35</v>
      </c>
      <c r="K17" t="s">
        <v>33</v>
      </c>
      <c r="L17" t="s">
        <v>2</v>
      </c>
    </row>
    <row r="18" spans="2:12">
      <c r="B18" s="2" t="s">
        <v>188</v>
      </c>
      <c r="C18" s="2" t="s">
        <v>163</v>
      </c>
      <c r="D18" t="s">
        <v>21</v>
      </c>
      <c r="E18" t="s">
        <v>6</v>
      </c>
      <c r="F18" t="s">
        <v>8</v>
      </c>
      <c r="G18" s="2" t="s">
        <v>141</v>
      </c>
      <c r="H18">
        <v>17</v>
      </c>
      <c r="I18" t="s">
        <v>18</v>
      </c>
      <c r="J18" t="s">
        <v>44</v>
      </c>
      <c r="K18" t="s">
        <v>52</v>
      </c>
      <c r="L18" t="s">
        <v>31</v>
      </c>
    </row>
    <row r="19" spans="2:12">
      <c r="B19" s="2" t="s">
        <v>189</v>
      </c>
      <c r="C19" s="2" t="s">
        <v>164</v>
      </c>
      <c r="D19" t="s">
        <v>21</v>
      </c>
      <c r="E19" t="s">
        <v>6</v>
      </c>
      <c r="F19" t="s">
        <v>8</v>
      </c>
      <c r="G19" s="2" t="s">
        <v>143</v>
      </c>
      <c r="H19">
        <v>20</v>
      </c>
      <c r="I19" t="s">
        <v>18</v>
      </c>
      <c r="J19" t="s">
        <v>44</v>
      </c>
      <c r="K19" t="s">
        <v>47</v>
      </c>
      <c r="L19" t="s">
        <v>24</v>
      </c>
    </row>
    <row r="20" spans="2:12">
      <c r="B20" s="2" t="s">
        <v>190</v>
      </c>
      <c r="C20" s="2" t="s">
        <v>165</v>
      </c>
      <c r="D20" t="s">
        <v>21</v>
      </c>
      <c r="E20" t="s">
        <v>6</v>
      </c>
      <c r="F20" t="s">
        <v>8</v>
      </c>
      <c r="G20" s="2" t="s">
        <v>142</v>
      </c>
      <c r="H20">
        <v>19</v>
      </c>
      <c r="I20" t="s">
        <v>18</v>
      </c>
      <c r="J20" t="s">
        <v>44</v>
      </c>
      <c r="K20" t="s">
        <v>26</v>
      </c>
      <c r="L20" t="s">
        <v>19</v>
      </c>
    </row>
    <row r="21" spans="2:12">
      <c r="B21" s="2" t="s">
        <v>191</v>
      </c>
      <c r="C21" s="2" t="s">
        <v>166</v>
      </c>
      <c r="D21" t="s">
        <v>36</v>
      </c>
      <c r="E21" t="s">
        <v>6</v>
      </c>
      <c r="F21" t="s">
        <v>8</v>
      </c>
      <c r="G21" s="2" t="s">
        <v>41</v>
      </c>
      <c r="H21">
        <v>15</v>
      </c>
      <c r="I21" t="s">
        <v>18</v>
      </c>
      <c r="J21" t="s">
        <v>44</v>
      </c>
      <c r="K21" t="s">
        <v>26</v>
      </c>
      <c r="L21" t="s">
        <v>19</v>
      </c>
    </row>
    <row r="22" spans="2:12">
      <c r="B22" s="2" t="s">
        <v>192</v>
      </c>
      <c r="C22" s="2" t="s">
        <v>167</v>
      </c>
      <c r="D22" t="s">
        <v>21</v>
      </c>
      <c r="E22" t="s">
        <v>6</v>
      </c>
      <c r="F22" t="s">
        <v>8</v>
      </c>
      <c r="G22" s="2" t="s">
        <v>141</v>
      </c>
      <c r="H22">
        <v>10</v>
      </c>
      <c r="I22" t="s">
        <v>18</v>
      </c>
      <c r="J22" t="s">
        <v>44</v>
      </c>
      <c r="K22" t="s">
        <v>51</v>
      </c>
      <c r="L22" t="s">
        <v>3</v>
      </c>
    </row>
    <row r="23" spans="2:12">
      <c r="B23" s="2" t="s">
        <v>193</v>
      </c>
      <c r="C23" s="2" t="s">
        <v>168</v>
      </c>
      <c r="D23" t="s">
        <v>40</v>
      </c>
      <c r="E23" t="s">
        <v>6</v>
      </c>
      <c r="F23" t="s">
        <v>9</v>
      </c>
      <c r="G23" s="2" t="s">
        <v>143</v>
      </c>
      <c r="H23">
        <v>18</v>
      </c>
      <c r="I23" t="s">
        <v>18</v>
      </c>
      <c r="J23" t="s">
        <v>44</v>
      </c>
      <c r="K23" t="s">
        <v>26</v>
      </c>
      <c r="L23" t="s">
        <v>19</v>
      </c>
    </row>
    <row r="24" spans="2:12">
      <c r="B24" s="2" t="s">
        <v>194</v>
      </c>
      <c r="C24" s="2" t="s">
        <v>169</v>
      </c>
      <c r="D24" t="s">
        <v>37</v>
      </c>
      <c r="E24" t="s">
        <v>6</v>
      </c>
      <c r="F24" t="s">
        <v>9</v>
      </c>
      <c r="G24" s="2" t="s">
        <v>41</v>
      </c>
      <c r="H24">
        <v>14</v>
      </c>
      <c r="I24" t="s">
        <v>5</v>
      </c>
      <c r="J24" t="s">
        <v>50</v>
      </c>
      <c r="K24" t="s">
        <v>50</v>
      </c>
      <c r="L24" t="s">
        <v>16</v>
      </c>
    </row>
    <row r="25" spans="2:12">
      <c r="B25" s="2" t="s">
        <v>195</v>
      </c>
      <c r="C25" s="2" t="s">
        <v>170</v>
      </c>
      <c r="D25" t="s">
        <v>65</v>
      </c>
      <c r="E25" t="s">
        <v>6</v>
      </c>
      <c r="F25" t="s">
        <v>8</v>
      </c>
      <c r="G25" s="2" t="s">
        <v>142</v>
      </c>
      <c r="H25">
        <v>12</v>
      </c>
      <c r="I25" t="s">
        <v>0</v>
      </c>
      <c r="J25" t="s">
        <v>10</v>
      </c>
      <c r="K25" t="s">
        <v>10</v>
      </c>
      <c r="L25" t="s">
        <v>10</v>
      </c>
    </row>
    <row r="26" spans="2:12">
      <c r="B26" s="2" t="s">
        <v>196</v>
      </c>
      <c r="C26" s="2" t="s">
        <v>171</v>
      </c>
      <c r="D26" t="s">
        <v>66</v>
      </c>
      <c r="E26" t="s">
        <v>6</v>
      </c>
      <c r="F26" t="s">
        <v>8</v>
      </c>
      <c r="G26" s="2" t="s">
        <v>141</v>
      </c>
      <c r="H26">
        <v>16</v>
      </c>
      <c r="I26" t="s">
        <v>0</v>
      </c>
      <c r="J26" t="s">
        <v>10</v>
      </c>
      <c r="K26" t="s">
        <v>10</v>
      </c>
      <c r="L26" t="s">
        <v>10</v>
      </c>
    </row>
    <row r="27" spans="2:12">
      <c r="B27" s="2" t="s">
        <v>197</v>
      </c>
      <c r="C27" s="2" t="s">
        <v>172</v>
      </c>
      <c r="D27" t="s">
        <v>67</v>
      </c>
      <c r="E27" t="s">
        <v>6</v>
      </c>
      <c r="F27" t="s">
        <v>8</v>
      </c>
      <c r="G27" s="2" t="s">
        <v>143</v>
      </c>
      <c r="H27">
        <v>19</v>
      </c>
      <c r="I27" t="s">
        <v>18</v>
      </c>
      <c r="J27" t="s">
        <v>44</v>
      </c>
    </row>
    <row r="28" spans="2:12">
      <c r="B28" s="2" t="s">
        <v>198</v>
      </c>
      <c r="C28" s="2" t="s">
        <v>173</v>
      </c>
      <c r="D28" t="s">
        <v>64</v>
      </c>
      <c r="E28" t="s">
        <v>6</v>
      </c>
      <c r="F28" t="s">
        <v>8</v>
      </c>
      <c r="G28" s="2" t="s">
        <v>41</v>
      </c>
      <c r="H28">
        <v>11</v>
      </c>
      <c r="I28" t="s">
        <v>1</v>
      </c>
      <c r="J28" t="s">
        <v>43</v>
      </c>
      <c r="K28" t="s">
        <v>43</v>
      </c>
      <c r="L28" t="s">
        <v>43</v>
      </c>
    </row>
    <row r="29" spans="2:12">
      <c r="B29" s="2" t="s">
        <v>199</v>
      </c>
      <c r="C29" s="2" t="s">
        <v>174</v>
      </c>
      <c r="D29" t="s">
        <v>23</v>
      </c>
      <c r="E29" t="s">
        <v>6</v>
      </c>
      <c r="F29" t="s">
        <v>8</v>
      </c>
      <c r="G29" s="2" t="s">
        <v>142</v>
      </c>
      <c r="H29">
        <v>15</v>
      </c>
      <c r="I29" t="s">
        <v>55</v>
      </c>
      <c r="J29" t="s">
        <v>35</v>
      </c>
      <c r="K29" t="s">
        <v>49</v>
      </c>
      <c r="L29" t="s">
        <v>34</v>
      </c>
    </row>
    <row r="30" spans="2:12">
      <c r="B30" s="2" t="s">
        <v>200</v>
      </c>
      <c r="C30" s="2" t="s">
        <v>175</v>
      </c>
      <c r="D30" t="s">
        <v>28</v>
      </c>
      <c r="E30" t="s">
        <v>6</v>
      </c>
      <c r="F30" t="s">
        <v>9</v>
      </c>
      <c r="G30" s="2" t="s">
        <v>141</v>
      </c>
      <c r="H30">
        <v>13</v>
      </c>
      <c r="I30" t="s">
        <v>27</v>
      </c>
      <c r="J30" t="s">
        <v>11</v>
      </c>
      <c r="K30" t="s">
        <v>11</v>
      </c>
      <c r="L30" t="s">
        <v>11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TextBox1">
          <controlPr defaultSize="0" autoLine="0" r:id="rId5">
            <anchor moveWithCells="1">
              <from>
                <xdr:col>2</xdr:col>
                <xdr:colOff>647700</xdr:colOff>
                <xdr:row>1</xdr:row>
                <xdr:rowOff>6350</xdr:rowOff>
              </from>
              <to>
                <xdr:col>7</xdr:col>
                <xdr:colOff>107950</xdr:colOff>
                <xdr:row>3</xdr:row>
                <xdr:rowOff>88900</xdr:rowOff>
              </to>
            </anchor>
          </controlPr>
        </control>
      </mc:Choice>
      <mc:Fallback>
        <control shapeId="3074" r:id="rId4" name="Text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Q244"/>
  <sheetViews>
    <sheetView zoomScale="70" zoomScaleNormal="70" workbookViewId="0">
      <pane ySplit="3" topLeftCell="A4" activePane="bottomLeft" state="frozen"/>
      <selection activeCell="C1" sqref="C1"/>
      <selection pane="bottomLeft" activeCell="L12" sqref="L12"/>
    </sheetView>
  </sheetViews>
  <sheetFormatPr baseColWidth="10" defaultRowHeight="12.5"/>
  <cols>
    <col min="2" max="2" width="18.81640625" customWidth="1"/>
    <col min="3" max="3" width="24" style="1" customWidth="1"/>
    <col min="4" max="4" width="10.90625" style="27"/>
    <col min="5" max="5" width="10.90625" style="20"/>
    <col min="6" max="7" width="4.453125" customWidth="1"/>
    <col min="8" max="8" width="13.7265625" customWidth="1"/>
    <col min="9" max="9" width="22" customWidth="1"/>
    <col min="10" max="10" width="16.6328125" customWidth="1"/>
    <col min="14" max="14" width="11.453125" customWidth="1"/>
    <col min="15" max="15" width="17.453125" customWidth="1"/>
    <col min="16" max="16" width="23.54296875" customWidth="1"/>
  </cols>
  <sheetData>
    <row r="1" spans="2:17" ht="13">
      <c r="B1" s="54" t="s">
        <v>106</v>
      </c>
      <c r="C1" s="56" t="s">
        <v>77</v>
      </c>
      <c r="D1" s="55" t="s">
        <v>79</v>
      </c>
      <c r="H1" s="23" t="s">
        <v>90</v>
      </c>
      <c r="I1" s="23" t="s">
        <v>91</v>
      </c>
      <c r="J1" s="23" t="s">
        <v>92</v>
      </c>
      <c r="K1" s="23" t="s">
        <v>78</v>
      </c>
      <c r="L1" s="23" t="s">
        <v>133</v>
      </c>
      <c r="M1" s="23" t="s">
        <v>99</v>
      </c>
      <c r="N1" s="23" t="s">
        <v>202</v>
      </c>
      <c r="O1" s="23" t="s">
        <v>93</v>
      </c>
      <c r="P1" s="23" t="s">
        <v>104</v>
      </c>
    </row>
    <row r="2" spans="2:17">
      <c r="B2" t="str">
        <f>CONCATENATE(H1,C2)</f>
        <v>Delantald_Azul</v>
      </c>
      <c r="C2" s="1" t="s">
        <v>107</v>
      </c>
      <c r="D2" s="28">
        <v>16450</v>
      </c>
      <c r="H2" s="2" t="s">
        <v>107</v>
      </c>
      <c r="I2" s="2" t="s">
        <v>111</v>
      </c>
      <c r="J2" s="2" t="s">
        <v>118</v>
      </c>
      <c r="K2" s="2" t="s">
        <v>117</v>
      </c>
      <c r="L2" s="2" t="s">
        <v>97</v>
      </c>
      <c r="M2" t="s">
        <v>100</v>
      </c>
      <c r="N2" t="s">
        <v>102</v>
      </c>
      <c r="O2" s="2" t="s">
        <v>125</v>
      </c>
      <c r="P2" s="2" t="s">
        <v>128</v>
      </c>
    </row>
    <row r="3" spans="2:17">
      <c r="C3" s="1" t="s">
        <v>63</v>
      </c>
      <c r="H3" s="2" t="s">
        <v>108</v>
      </c>
      <c r="I3" s="2" t="s">
        <v>112</v>
      </c>
      <c r="J3" s="2" t="s">
        <v>119</v>
      </c>
      <c r="K3" s="2" t="s">
        <v>94</v>
      </c>
      <c r="L3" s="2" t="s">
        <v>98</v>
      </c>
      <c r="M3" t="s">
        <v>101</v>
      </c>
      <c r="N3" t="s">
        <v>103</v>
      </c>
      <c r="O3" s="2" t="s">
        <v>126</v>
      </c>
      <c r="P3" t="s">
        <v>83</v>
      </c>
    </row>
    <row r="4" spans="2:17" ht="13">
      <c r="C4" s="1" t="s">
        <v>8</v>
      </c>
      <c r="E4" s="22"/>
      <c r="H4" s="2" t="s">
        <v>110</v>
      </c>
      <c r="I4" s="2" t="s">
        <v>113</v>
      </c>
      <c r="J4" s="2" t="s">
        <v>120</v>
      </c>
      <c r="K4" s="2" t="s">
        <v>123</v>
      </c>
      <c r="N4" t="s">
        <v>84</v>
      </c>
      <c r="O4" s="2" t="s">
        <v>127</v>
      </c>
      <c r="P4" s="2" t="s">
        <v>131</v>
      </c>
      <c r="Q4" s="5"/>
    </row>
    <row r="5" spans="2:17" s="5" customFormat="1">
      <c r="B5"/>
      <c r="C5" s="1" t="s">
        <v>62</v>
      </c>
      <c r="D5" s="27"/>
      <c r="E5" s="21"/>
      <c r="I5" s="2" t="s">
        <v>115</v>
      </c>
      <c r="J5" s="2" t="s">
        <v>121</v>
      </c>
      <c r="K5" t="s">
        <v>95</v>
      </c>
      <c r="L5"/>
      <c r="M5"/>
      <c r="N5"/>
      <c r="O5"/>
      <c r="P5" t="s">
        <v>132</v>
      </c>
      <c r="Q5"/>
    </row>
    <row r="6" spans="2:17">
      <c r="C6" s="1" t="s">
        <v>80</v>
      </c>
      <c r="K6" s="2" t="s">
        <v>129</v>
      </c>
      <c r="P6" s="2" t="s">
        <v>134</v>
      </c>
    </row>
    <row r="7" spans="2:17">
      <c r="C7" s="1" t="s">
        <v>81</v>
      </c>
    </row>
    <row r="8" spans="2:17">
      <c r="C8" s="1" t="s">
        <v>105</v>
      </c>
    </row>
    <row r="9" spans="2:17">
      <c r="B9" t="str">
        <f>CONCATENATE(H1,H3)</f>
        <v>Delantald_Blanco</v>
      </c>
      <c r="C9" s="1" t="s">
        <v>108</v>
      </c>
      <c r="D9" s="27">
        <v>16450</v>
      </c>
      <c r="H9" s="2" t="s">
        <v>148</v>
      </c>
    </row>
    <row r="10" spans="2:17">
      <c r="C10" s="1" t="s">
        <v>63</v>
      </c>
      <c r="H10" s="2" t="s">
        <v>86</v>
      </c>
    </row>
    <row r="11" spans="2:17" ht="13">
      <c r="C11" s="1" t="s">
        <v>8</v>
      </c>
      <c r="H11" s="2" t="s">
        <v>85</v>
      </c>
      <c r="I11" s="45"/>
      <c r="J11" s="2"/>
      <c r="K11" s="2"/>
      <c r="L11" s="2"/>
    </row>
    <row r="12" spans="2:17">
      <c r="C12" s="1" t="s">
        <v>62</v>
      </c>
      <c r="L12" s="46"/>
    </row>
    <row r="13" spans="2:17">
      <c r="C13" s="1" t="s">
        <v>80</v>
      </c>
      <c r="L13" s="46"/>
    </row>
    <row r="14" spans="2:17">
      <c r="C14" s="1" t="s">
        <v>81</v>
      </c>
      <c r="L14" s="46"/>
    </row>
    <row r="15" spans="2:17">
      <c r="C15" s="1" t="s">
        <v>105</v>
      </c>
      <c r="L15" s="46"/>
    </row>
    <row r="16" spans="2:17">
      <c r="B16" t="str">
        <f>CONCATENATE(H1,H4)</f>
        <v xml:space="preserve">Delantald_Verde </v>
      </c>
      <c r="C16" s="1" t="s">
        <v>109</v>
      </c>
      <c r="D16" s="27">
        <v>16450</v>
      </c>
      <c r="L16" s="46"/>
    </row>
    <row r="17" spans="2:12">
      <c r="C17" s="1" t="s">
        <v>63</v>
      </c>
      <c r="L17" s="46"/>
    </row>
    <row r="18" spans="2:12">
      <c r="C18" s="1" t="s">
        <v>8</v>
      </c>
      <c r="L18" s="46"/>
    </row>
    <row r="19" spans="2:12">
      <c r="C19" s="1" t="s">
        <v>62</v>
      </c>
      <c r="L19" s="46"/>
    </row>
    <row r="20" spans="2:12">
      <c r="C20" s="1" t="s">
        <v>80</v>
      </c>
      <c r="L20" s="46"/>
    </row>
    <row r="21" spans="2:12">
      <c r="C21" s="1" t="s">
        <v>81</v>
      </c>
      <c r="L21" s="46"/>
    </row>
    <row r="22" spans="2:12">
      <c r="C22" s="1" t="s">
        <v>105</v>
      </c>
      <c r="L22" s="46"/>
    </row>
    <row r="23" spans="2:12">
      <c r="B23" t="str">
        <f>CONCATENATE(I1,I2)</f>
        <v>Slacks_Gris</v>
      </c>
      <c r="C23" s="1" t="s">
        <v>111</v>
      </c>
      <c r="D23" s="27">
        <v>24680</v>
      </c>
      <c r="L23" s="46"/>
    </row>
    <row r="24" spans="2:12">
      <c r="C24" s="1" t="s">
        <v>63</v>
      </c>
      <c r="L24" s="46"/>
    </row>
    <row r="25" spans="2:12">
      <c r="C25" s="1" t="s">
        <v>8</v>
      </c>
      <c r="L25" s="46"/>
    </row>
    <row r="26" spans="2:12">
      <c r="C26" s="1" t="s">
        <v>62</v>
      </c>
      <c r="L26" s="46"/>
    </row>
    <row r="27" spans="2:12">
      <c r="C27" s="1" t="s">
        <v>80</v>
      </c>
      <c r="L27" s="46"/>
    </row>
    <row r="28" spans="2:12">
      <c r="C28" s="1" t="s">
        <v>81</v>
      </c>
      <c r="L28" s="46"/>
    </row>
    <row r="29" spans="2:12">
      <c r="C29" s="1" t="s">
        <v>105</v>
      </c>
      <c r="L29" s="46"/>
    </row>
    <row r="30" spans="2:12">
      <c r="B30" t="str">
        <f>CONCATENATE(I1,I3)</f>
        <v>Slacks_Verde</v>
      </c>
      <c r="C30" s="1" t="s">
        <v>112</v>
      </c>
      <c r="D30" s="27">
        <v>24680</v>
      </c>
      <c r="L30" s="46"/>
    </row>
    <row r="31" spans="2:12">
      <c r="C31" s="1" t="s">
        <v>63</v>
      </c>
      <c r="L31" s="46"/>
    </row>
    <row r="32" spans="2:12">
      <c r="C32" s="1" t="s">
        <v>8</v>
      </c>
      <c r="L32" s="46"/>
    </row>
    <row r="33" spans="2:12">
      <c r="C33" s="1" t="s">
        <v>62</v>
      </c>
      <c r="L33" s="46"/>
    </row>
    <row r="34" spans="2:12">
      <c r="C34" s="1" t="s">
        <v>80</v>
      </c>
      <c r="L34" s="46"/>
    </row>
    <row r="35" spans="2:12">
      <c r="C35" s="1" t="s">
        <v>81</v>
      </c>
      <c r="L35" s="46"/>
    </row>
    <row r="36" spans="2:12">
      <c r="C36" s="1" t="s">
        <v>105</v>
      </c>
      <c r="L36" s="46"/>
    </row>
    <row r="37" spans="2:12">
      <c r="B37" t="str">
        <f>CONCATENATE(I1,I4)</f>
        <v>Slacks_Blanco</v>
      </c>
      <c r="C37" s="1" t="s">
        <v>113</v>
      </c>
      <c r="D37" s="27">
        <v>24680</v>
      </c>
      <c r="L37" s="46"/>
    </row>
    <row r="38" spans="2:12">
      <c r="C38" s="1" t="s">
        <v>63</v>
      </c>
      <c r="L38" s="46"/>
    </row>
    <row r="39" spans="2:12">
      <c r="C39" s="1" t="s">
        <v>8</v>
      </c>
      <c r="L39" s="2"/>
    </row>
    <row r="40" spans="2:12">
      <c r="C40" s="1" t="s">
        <v>62</v>
      </c>
    </row>
    <row r="41" spans="2:12">
      <c r="C41" s="1" t="s">
        <v>80</v>
      </c>
    </row>
    <row r="42" spans="2:12">
      <c r="C42" s="1" t="s">
        <v>81</v>
      </c>
    </row>
    <row r="43" spans="2:12">
      <c r="C43" s="1" t="s">
        <v>105</v>
      </c>
    </row>
    <row r="44" spans="2:12">
      <c r="B44" t="str">
        <f>CONCATENATE(I1,I5)</f>
        <v>Slacks_PantalonSlackBlanco</v>
      </c>
      <c r="C44" s="1" t="s">
        <v>114</v>
      </c>
      <c r="D44" s="27">
        <v>10670</v>
      </c>
    </row>
    <row r="45" spans="2:12">
      <c r="C45" s="1" t="s">
        <v>63</v>
      </c>
    </row>
    <row r="46" spans="2:12">
      <c r="C46" s="1" t="s">
        <v>8</v>
      </c>
    </row>
    <row r="47" spans="2:12">
      <c r="C47" s="1" t="s">
        <v>62</v>
      </c>
    </row>
    <row r="48" spans="2:12">
      <c r="C48" s="1" t="s">
        <v>80</v>
      </c>
    </row>
    <row r="49" spans="2:4">
      <c r="C49" s="1" t="s">
        <v>81</v>
      </c>
    </row>
    <row r="50" spans="2:4">
      <c r="C50" s="1" t="s">
        <v>105</v>
      </c>
    </row>
    <row r="51" spans="2:4">
      <c r="B51" t="str">
        <f>CONCATENATE(Poleras[[#Headers],[Poleras]],J2)</f>
        <v>Polerasp_Azul</v>
      </c>
      <c r="C51" s="1" t="s">
        <v>118</v>
      </c>
      <c r="D51" s="25">
        <v>8380</v>
      </c>
    </row>
    <row r="52" spans="2:4">
      <c r="C52" s="1" t="s">
        <v>63</v>
      </c>
      <c r="D52" s="25"/>
    </row>
    <row r="53" spans="2:4">
      <c r="C53" s="1" t="s">
        <v>8</v>
      </c>
      <c r="D53" s="25"/>
    </row>
    <row r="54" spans="2:4">
      <c r="C54" s="1" t="s">
        <v>62</v>
      </c>
      <c r="D54" s="25"/>
    </row>
    <row r="55" spans="2:4">
      <c r="C55" s="1" t="s">
        <v>80</v>
      </c>
      <c r="D55" s="25"/>
    </row>
    <row r="56" spans="2:4">
      <c r="C56" s="1" t="s">
        <v>81</v>
      </c>
      <c r="D56" s="25"/>
    </row>
    <row r="57" spans="2:4">
      <c r="C57" s="1" t="s">
        <v>105</v>
      </c>
      <c r="D57" s="25"/>
    </row>
    <row r="58" spans="2:4">
      <c r="B58" t="str">
        <f>CONCATENATE(Poleras[[#Headers],[Poleras]],J3)</f>
        <v>Polerasp_Blanco</v>
      </c>
      <c r="C58" s="1" t="s">
        <v>119</v>
      </c>
      <c r="D58" s="25">
        <v>8380</v>
      </c>
    </row>
    <row r="59" spans="2:4">
      <c r="C59" s="1" t="s">
        <v>63</v>
      </c>
      <c r="D59" s="25"/>
    </row>
    <row r="60" spans="2:4">
      <c r="C60" s="1" t="s">
        <v>8</v>
      </c>
      <c r="D60" s="25"/>
    </row>
    <row r="61" spans="2:4">
      <c r="C61" s="1" t="s">
        <v>62</v>
      </c>
      <c r="D61" s="25"/>
    </row>
    <row r="62" spans="2:4">
      <c r="C62" s="1" t="s">
        <v>80</v>
      </c>
      <c r="D62" s="25"/>
    </row>
    <row r="63" spans="2:4">
      <c r="C63" s="1" t="s">
        <v>81</v>
      </c>
      <c r="D63" s="25"/>
    </row>
    <row r="64" spans="2:4">
      <c r="C64" s="1" t="s">
        <v>105</v>
      </c>
      <c r="D64" s="25"/>
    </row>
    <row r="65" spans="2:4">
      <c r="B65" t="str">
        <f>CONCATENATE(Poleras[[#Headers],[Poleras]],J4)</f>
        <v>Polerasp_Gris</v>
      </c>
      <c r="C65" s="1" t="s">
        <v>120</v>
      </c>
      <c r="D65" s="27">
        <v>8380</v>
      </c>
    </row>
    <row r="66" spans="2:4">
      <c r="C66" s="1" t="s">
        <v>63</v>
      </c>
    </row>
    <row r="67" spans="2:4">
      <c r="C67" s="1" t="s">
        <v>8</v>
      </c>
    </row>
    <row r="68" spans="2:4">
      <c r="C68" s="1" t="s">
        <v>62</v>
      </c>
    </row>
    <row r="69" spans="2:4">
      <c r="C69" s="1" t="s">
        <v>80</v>
      </c>
      <c r="D69" s="29" t="s">
        <v>122</v>
      </c>
    </row>
    <row r="70" spans="2:4">
      <c r="C70" s="1" t="s">
        <v>81</v>
      </c>
    </row>
    <row r="71" spans="2:4">
      <c r="C71" s="1" t="s">
        <v>105</v>
      </c>
    </row>
    <row r="72" spans="2:4">
      <c r="B72" t="str">
        <f>CONCATENATE(Poleras[[#Headers],[Poleras]],J5)</f>
        <v>Polerasp_Verde</v>
      </c>
      <c r="C72" s="1" t="s">
        <v>121</v>
      </c>
      <c r="D72" s="25">
        <v>8380</v>
      </c>
    </row>
    <row r="73" spans="2:4">
      <c r="C73" s="1" t="s">
        <v>63</v>
      </c>
      <c r="D73" s="25"/>
    </row>
    <row r="74" spans="2:4">
      <c r="C74" s="1" t="s">
        <v>8</v>
      </c>
      <c r="D74" s="25"/>
    </row>
    <row r="75" spans="2:4">
      <c r="C75" s="1" t="s">
        <v>62</v>
      </c>
      <c r="D75" s="25"/>
    </row>
    <row r="76" spans="2:4">
      <c r="C76" s="1" t="s">
        <v>80</v>
      </c>
      <c r="D76" s="25"/>
    </row>
    <row r="77" spans="2:4">
      <c r="C77" s="1" t="s">
        <v>81</v>
      </c>
      <c r="D77" s="25"/>
    </row>
    <row r="78" spans="2:4">
      <c r="C78" s="1" t="s">
        <v>105</v>
      </c>
      <c r="D78" s="25"/>
    </row>
    <row r="79" spans="2:4">
      <c r="B79" t="str">
        <f>CONCATENATE(Zapatos[[#Headers],[Zapatos]],K2)</f>
        <v>ZapatosNorsegDama</v>
      </c>
      <c r="C79" s="1" t="s">
        <v>117</v>
      </c>
      <c r="D79" s="27">
        <v>47790</v>
      </c>
    </row>
    <row r="80" spans="2:4">
      <c r="C80" s="1">
        <v>34</v>
      </c>
    </row>
    <row r="81" spans="2:4">
      <c r="C81" s="1">
        <v>35</v>
      </c>
    </row>
    <row r="82" spans="2:4">
      <c r="C82" s="1">
        <v>36</v>
      </c>
    </row>
    <row r="83" spans="2:4">
      <c r="C83" s="1">
        <v>37</v>
      </c>
    </row>
    <row r="84" spans="2:4">
      <c r="C84" s="1">
        <v>38</v>
      </c>
    </row>
    <row r="85" spans="2:4">
      <c r="C85" s="1">
        <v>39</v>
      </c>
    </row>
    <row r="86" spans="2:4">
      <c r="C86" s="1">
        <v>40</v>
      </c>
    </row>
    <row r="87" spans="2:4">
      <c r="C87" s="1">
        <v>41</v>
      </c>
    </row>
    <row r="88" spans="2:4">
      <c r="C88" s="1">
        <v>42</v>
      </c>
    </row>
    <row r="89" spans="2:4">
      <c r="C89" s="1">
        <v>43</v>
      </c>
    </row>
    <row r="90" spans="2:4">
      <c r="C90" s="1">
        <v>44</v>
      </c>
    </row>
    <row r="91" spans="2:4">
      <c r="C91" s="1">
        <v>45</v>
      </c>
    </row>
    <row r="92" spans="2:4">
      <c r="B92" t="str">
        <f>CONCATENATE(Zapatos[[#Headers],[Zapatos]],K3)</f>
        <v>ZapatosNorsegVaron</v>
      </c>
      <c r="C92" s="1" t="s">
        <v>94</v>
      </c>
      <c r="D92" s="27">
        <v>47790</v>
      </c>
    </row>
    <row r="93" spans="2:4">
      <c r="C93" s="1">
        <v>34</v>
      </c>
    </row>
    <row r="94" spans="2:4">
      <c r="C94" s="1">
        <v>35</v>
      </c>
    </row>
    <row r="95" spans="2:4">
      <c r="C95" s="1">
        <v>36</v>
      </c>
    </row>
    <row r="96" spans="2:4">
      <c r="C96" s="1">
        <v>37</v>
      </c>
    </row>
    <row r="97" spans="2:4">
      <c r="C97" s="1">
        <v>38</v>
      </c>
    </row>
    <row r="98" spans="2:4">
      <c r="C98" s="1">
        <v>39</v>
      </c>
    </row>
    <row r="99" spans="2:4">
      <c r="C99" s="1">
        <v>40</v>
      </c>
    </row>
    <row r="100" spans="2:4">
      <c r="C100" s="1">
        <v>41</v>
      </c>
    </row>
    <row r="101" spans="2:4">
      <c r="C101" s="1">
        <v>42</v>
      </c>
    </row>
    <row r="102" spans="2:4">
      <c r="C102" s="1">
        <v>43</v>
      </c>
    </row>
    <row r="103" spans="2:4">
      <c r="C103" s="1">
        <v>44</v>
      </c>
    </row>
    <row r="104" spans="2:4">
      <c r="C104" s="1">
        <v>45</v>
      </c>
    </row>
    <row r="105" spans="2:4">
      <c r="B105" t="str">
        <f>CONCATENATE(Zapatos[[#Headers],[Zapatos]],K4)</f>
        <v>ZapatosPanamaJack</v>
      </c>
      <c r="C105" s="1" t="s">
        <v>123</v>
      </c>
      <c r="D105" s="27">
        <v>47790</v>
      </c>
    </row>
    <row r="106" spans="2:4">
      <c r="C106" s="1">
        <v>34</v>
      </c>
    </row>
    <row r="107" spans="2:4">
      <c r="C107" s="1">
        <v>35</v>
      </c>
    </row>
    <row r="108" spans="2:4">
      <c r="C108" s="1">
        <v>36</v>
      </c>
    </row>
    <row r="109" spans="2:4">
      <c r="C109" s="1">
        <v>37</v>
      </c>
    </row>
    <row r="110" spans="2:4">
      <c r="C110" s="1">
        <v>38</v>
      </c>
    </row>
    <row r="111" spans="2:4">
      <c r="C111" s="1">
        <v>39</v>
      </c>
    </row>
    <row r="112" spans="2:4">
      <c r="C112" s="1">
        <v>40</v>
      </c>
    </row>
    <row r="113" spans="2:4">
      <c r="C113" s="1">
        <v>41</v>
      </c>
    </row>
    <row r="114" spans="2:4">
      <c r="C114" s="1">
        <v>42</v>
      </c>
    </row>
    <row r="115" spans="2:4">
      <c r="C115" s="1">
        <v>43</v>
      </c>
    </row>
    <row r="116" spans="2:4">
      <c r="C116" s="1">
        <v>44</v>
      </c>
    </row>
    <row r="117" spans="2:4">
      <c r="C117" s="1">
        <v>45</v>
      </c>
    </row>
    <row r="118" spans="2:4">
      <c r="B118" t="str">
        <f>CONCATENATE(Zapatos[[#Headers],[Zapatos]],K5)</f>
        <v>ZapatosCamara</v>
      </c>
      <c r="C118" s="1" t="s">
        <v>95</v>
      </c>
      <c r="D118" s="27">
        <v>52969</v>
      </c>
    </row>
    <row r="119" spans="2:4">
      <c r="C119" s="1">
        <v>34</v>
      </c>
    </row>
    <row r="120" spans="2:4">
      <c r="C120" s="1">
        <v>35</v>
      </c>
    </row>
    <row r="121" spans="2:4">
      <c r="C121" s="1">
        <v>36</v>
      </c>
    </row>
    <row r="122" spans="2:4">
      <c r="C122" s="1">
        <v>37</v>
      </c>
    </row>
    <row r="123" spans="2:4">
      <c r="C123" s="1">
        <v>38</v>
      </c>
    </row>
    <row r="124" spans="2:4">
      <c r="C124" s="1">
        <v>39</v>
      </c>
    </row>
    <row r="125" spans="2:4">
      <c r="C125" s="1">
        <v>40</v>
      </c>
    </row>
    <row r="126" spans="2:4">
      <c r="C126" s="1">
        <v>41</v>
      </c>
    </row>
    <row r="127" spans="2:4">
      <c r="C127" s="1">
        <v>42</v>
      </c>
    </row>
    <row r="128" spans="2:4">
      <c r="C128" s="1">
        <v>43</v>
      </c>
    </row>
    <row r="129" spans="2:4">
      <c r="C129" s="1">
        <v>44</v>
      </c>
    </row>
    <row r="130" spans="2:4">
      <c r="C130" s="1">
        <v>45</v>
      </c>
    </row>
    <row r="132" spans="2:4">
      <c r="B132" t="str">
        <f>CONCATENATE(Zapatos[[#Headers],[Zapatos]],K6)</f>
        <v>ZapatosEdelbrook</v>
      </c>
      <c r="C132" s="1" t="s">
        <v>96</v>
      </c>
      <c r="D132" s="27">
        <v>47790</v>
      </c>
    </row>
    <row r="133" spans="2:4">
      <c r="C133" s="1">
        <v>34</v>
      </c>
    </row>
    <row r="134" spans="2:4">
      <c r="C134" s="1">
        <v>35</v>
      </c>
    </row>
    <row r="135" spans="2:4">
      <c r="C135" s="1">
        <v>36</v>
      </c>
    </row>
    <row r="136" spans="2:4">
      <c r="C136" s="1">
        <v>37</v>
      </c>
    </row>
    <row r="137" spans="2:4">
      <c r="C137" s="1">
        <v>38</v>
      </c>
    </row>
    <row r="138" spans="2:4">
      <c r="C138" s="1">
        <v>39</v>
      </c>
    </row>
    <row r="139" spans="2:4">
      <c r="C139" s="1">
        <v>40</v>
      </c>
    </row>
    <row r="140" spans="2:4">
      <c r="C140" s="1">
        <v>41</v>
      </c>
    </row>
    <row r="141" spans="2:4">
      <c r="C141" s="1">
        <v>42</v>
      </c>
    </row>
    <row r="142" spans="2:4">
      <c r="C142" s="1">
        <v>43</v>
      </c>
    </row>
    <row r="143" spans="2:4">
      <c r="C143" s="1">
        <v>44</v>
      </c>
    </row>
    <row r="144" spans="2:4">
      <c r="C144" s="1">
        <v>45</v>
      </c>
    </row>
    <row r="145" spans="2:4">
      <c r="B145" t="str">
        <f>CONCATENATE(Parka[[#Headers],[Parka]],L2)</f>
        <v>ParkaHighway</v>
      </c>
      <c r="C145" s="1" t="s">
        <v>97</v>
      </c>
      <c r="D145" s="27">
        <v>38000</v>
      </c>
    </row>
    <row r="146" spans="2:4">
      <c r="C146" s="1" t="s">
        <v>63</v>
      </c>
    </row>
    <row r="147" spans="2:4">
      <c r="C147" s="1" t="s">
        <v>8</v>
      </c>
    </row>
    <row r="148" spans="2:4">
      <c r="C148" s="1" t="s">
        <v>62</v>
      </c>
    </row>
    <row r="149" spans="2:4">
      <c r="C149" s="1" t="s">
        <v>80</v>
      </c>
    </row>
    <row r="150" spans="2:4">
      <c r="C150" s="1" t="s">
        <v>81</v>
      </c>
    </row>
    <row r="151" spans="2:4">
      <c r="C151" s="1" t="s">
        <v>105</v>
      </c>
    </row>
    <row r="152" spans="2:4">
      <c r="B152" t="str">
        <f>CONCATENATE(Parka[[#Headers],[Parka]],L3)</f>
        <v>ParkaAlaska</v>
      </c>
      <c r="C152" s="1" t="s">
        <v>98</v>
      </c>
      <c r="D152" s="27">
        <v>38000</v>
      </c>
    </row>
    <row r="153" spans="2:4">
      <c r="C153" s="1" t="s">
        <v>63</v>
      </c>
    </row>
    <row r="154" spans="2:4">
      <c r="C154" s="1" t="s">
        <v>8</v>
      </c>
    </row>
    <row r="155" spans="2:4">
      <c r="C155" s="1" t="s">
        <v>62</v>
      </c>
    </row>
    <row r="156" spans="2:4">
      <c r="C156" s="1" t="s">
        <v>80</v>
      </c>
    </row>
    <row r="157" spans="2:4">
      <c r="C157" s="1" t="s">
        <v>81</v>
      </c>
    </row>
    <row r="158" spans="2:4">
      <c r="C158" s="1" t="s">
        <v>105</v>
      </c>
    </row>
    <row r="159" spans="2:4">
      <c r="B159" t="str">
        <f>CONCATENATE(Termicos[[#Headers],[Termicos]],M3)</f>
        <v>TermicosOverol</v>
      </c>
      <c r="C159" s="1" t="s">
        <v>101</v>
      </c>
      <c r="D159" s="25">
        <v>27000</v>
      </c>
    </row>
    <row r="160" spans="2:4">
      <c r="C160" s="1" t="s">
        <v>63</v>
      </c>
      <c r="D160" s="25"/>
    </row>
    <row r="161" spans="2:4">
      <c r="C161" s="1" t="s">
        <v>8</v>
      </c>
      <c r="D161" s="25"/>
    </row>
    <row r="162" spans="2:4">
      <c r="C162" s="1" t="s">
        <v>62</v>
      </c>
      <c r="D162" s="25"/>
    </row>
    <row r="163" spans="2:4">
      <c r="C163" s="1" t="s">
        <v>80</v>
      </c>
      <c r="D163" s="25"/>
    </row>
    <row r="164" spans="2:4">
      <c r="C164" s="1" t="s">
        <v>81</v>
      </c>
      <c r="D164" s="25"/>
    </row>
    <row r="165" spans="2:4">
      <c r="C165" s="1" t="s">
        <v>105</v>
      </c>
      <c r="D165" s="25"/>
    </row>
    <row r="166" spans="2:4">
      <c r="B166" t="str">
        <f>CONCATENATE(Termicos[[#Headers],[Termicos]],M2)</f>
        <v>TermicosGuantes</v>
      </c>
      <c r="C166" s="1" t="s">
        <v>100</v>
      </c>
      <c r="D166" s="25">
        <v>105969</v>
      </c>
    </row>
    <row r="167" spans="2:4">
      <c r="C167" s="1" t="s">
        <v>124</v>
      </c>
      <c r="D167" s="26"/>
    </row>
    <row r="168" spans="2:4">
      <c r="B168" t="str">
        <f>CONCATENATE(Ignifugos[[#Headers],[Ignifugos]],EPP!N2)</f>
        <v>IgnifugosCamisa</v>
      </c>
      <c r="C168" s="1" t="s">
        <v>102</v>
      </c>
      <c r="D168" s="27">
        <v>20000</v>
      </c>
    </row>
    <row r="169" spans="2:4">
      <c r="C169" s="1" t="s">
        <v>63</v>
      </c>
    </row>
    <row r="170" spans="2:4">
      <c r="C170" s="1" t="s">
        <v>8</v>
      </c>
    </row>
    <row r="171" spans="2:4">
      <c r="C171" s="1" t="s">
        <v>62</v>
      </c>
    </row>
    <row r="172" spans="2:4">
      <c r="C172" s="1" t="s">
        <v>80</v>
      </c>
    </row>
    <row r="173" spans="2:4">
      <c r="C173" s="1" t="s">
        <v>81</v>
      </c>
    </row>
    <row r="174" spans="2:4">
      <c r="C174" s="1" t="s">
        <v>105</v>
      </c>
    </row>
    <row r="175" spans="2:4">
      <c r="B175" t="str">
        <f>CONCATENATE(Ignifugos[[#Headers],[Ignifugos]],EPP!N3)</f>
        <v xml:space="preserve">IgnifugosPantalon </v>
      </c>
      <c r="C175" s="1" t="s">
        <v>103</v>
      </c>
      <c r="D175" s="27">
        <v>20000</v>
      </c>
    </row>
    <row r="176" spans="2:4">
      <c r="C176" s="1">
        <v>40</v>
      </c>
    </row>
    <row r="177" spans="2:4">
      <c r="C177" s="1">
        <v>42</v>
      </c>
    </row>
    <row r="178" spans="2:4">
      <c r="C178" s="1">
        <v>44</v>
      </c>
    </row>
    <row r="179" spans="2:4">
      <c r="C179" s="1">
        <v>46</v>
      </c>
    </row>
    <row r="180" spans="2:4">
      <c r="C180" s="1">
        <v>48</v>
      </c>
    </row>
    <row r="181" spans="2:4">
      <c r="C181" s="1">
        <v>50</v>
      </c>
    </row>
    <row r="182" spans="2:4">
      <c r="C182" s="1">
        <v>52</v>
      </c>
    </row>
    <row r="183" spans="2:4">
      <c r="C183" s="1">
        <v>54</v>
      </c>
    </row>
    <row r="184" spans="2:4">
      <c r="B184" t="str">
        <f>CONCATENATE(Ignifugos[[#Headers],[Ignifugos]],EPP!N4)</f>
        <v>IgnifugosBalaclava</v>
      </c>
      <c r="C184" s="1" t="s">
        <v>84</v>
      </c>
      <c r="D184" s="27">
        <v>10000</v>
      </c>
    </row>
    <row r="185" spans="2:4">
      <c r="C185" s="1" t="s">
        <v>124</v>
      </c>
    </row>
    <row r="186" spans="2:4">
      <c r="B186" t="str">
        <f>CONCATENATE(Botas[[#Headers],[Botas]],O2)</f>
        <v>Botasb_Blancas</v>
      </c>
      <c r="C186" s="1" t="s">
        <v>125</v>
      </c>
      <c r="D186" s="27">
        <v>8950</v>
      </c>
    </row>
    <row r="187" spans="2:4">
      <c r="C187" s="1">
        <v>34</v>
      </c>
    </row>
    <row r="188" spans="2:4">
      <c r="C188" s="1">
        <v>35</v>
      </c>
    </row>
    <row r="189" spans="2:4">
      <c r="C189" s="1">
        <v>36</v>
      </c>
    </row>
    <row r="190" spans="2:4">
      <c r="C190" s="1">
        <v>37</v>
      </c>
    </row>
    <row r="191" spans="2:4">
      <c r="C191" s="1">
        <v>38</v>
      </c>
    </row>
    <row r="192" spans="2:4">
      <c r="C192" s="1">
        <v>39</v>
      </c>
    </row>
    <row r="193" spans="2:4">
      <c r="C193" s="1">
        <v>40</v>
      </c>
    </row>
    <row r="194" spans="2:4">
      <c r="C194" s="1">
        <v>41</v>
      </c>
    </row>
    <row r="195" spans="2:4">
      <c r="C195" s="1">
        <v>42</v>
      </c>
    </row>
    <row r="196" spans="2:4">
      <c r="C196" s="1">
        <v>43</v>
      </c>
    </row>
    <row r="197" spans="2:4">
      <c r="C197" s="1">
        <v>44</v>
      </c>
    </row>
    <row r="198" spans="2:4">
      <c r="B198" t="str">
        <f>CONCATENATE(Botas[[#Headers],[Botas]],O3)</f>
        <v>Botasb_Verde</v>
      </c>
      <c r="C198" s="1">
        <v>45</v>
      </c>
      <c r="D198" s="27">
        <v>8950</v>
      </c>
    </row>
    <row r="199" spans="2:4">
      <c r="C199" s="1" t="s">
        <v>126</v>
      </c>
    </row>
    <row r="200" spans="2:4">
      <c r="C200" s="1">
        <v>34</v>
      </c>
    </row>
    <row r="201" spans="2:4">
      <c r="C201" s="1">
        <v>35</v>
      </c>
    </row>
    <row r="202" spans="2:4">
      <c r="C202" s="1">
        <v>36</v>
      </c>
    </row>
    <row r="203" spans="2:4">
      <c r="C203" s="1">
        <v>37</v>
      </c>
    </row>
    <row r="204" spans="2:4">
      <c r="C204" s="1">
        <v>38</v>
      </c>
    </row>
    <row r="205" spans="2:4">
      <c r="C205" s="1">
        <v>39</v>
      </c>
    </row>
    <row r="206" spans="2:4">
      <c r="C206" s="1">
        <v>40</v>
      </c>
    </row>
    <row r="207" spans="2:4">
      <c r="C207" s="1">
        <v>41</v>
      </c>
    </row>
    <row r="208" spans="2:4">
      <c r="C208" s="1">
        <v>42</v>
      </c>
    </row>
    <row r="209" spans="2:4">
      <c r="C209" s="1">
        <v>43</v>
      </c>
    </row>
    <row r="210" spans="2:4">
      <c r="C210" s="1">
        <v>44</v>
      </c>
    </row>
    <row r="211" spans="2:4">
      <c r="C211" s="1">
        <v>45</v>
      </c>
    </row>
    <row r="212" spans="2:4">
      <c r="B212" t="str">
        <f>CONCATENATE(Botas[[#Headers],[Botas]],O4)</f>
        <v>Botasb_VerdeBlanco</v>
      </c>
      <c r="C212" s="1" t="s">
        <v>127</v>
      </c>
      <c r="D212" s="26">
        <v>8950</v>
      </c>
    </row>
    <row r="213" spans="2:4">
      <c r="C213" s="1">
        <v>34</v>
      </c>
      <c r="D213" s="26"/>
    </row>
    <row r="214" spans="2:4">
      <c r="C214" s="1">
        <v>35</v>
      </c>
      <c r="D214" s="26"/>
    </row>
    <row r="215" spans="2:4">
      <c r="C215" s="1">
        <v>36</v>
      </c>
      <c r="D215" s="26"/>
    </row>
    <row r="216" spans="2:4">
      <c r="C216" s="1">
        <v>37</v>
      </c>
      <c r="D216" s="26"/>
    </row>
    <row r="217" spans="2:4">
      <c r="C217" s="1">
        <v>38</v>
      </c>
      <c r="D217" s="26"/>
    </row>
    <row r="218" spans="2:4">
      <c r="C218" s="1">
        <v>39</v>
      </c>
      <c r="D218" s="26"/>
    </row>
    <row r="219" spans="2:4">
      <c r="C219" s="1">
        <v>40</v>
      </c>
      <c r="D219" s="26"/>
    </row>
    <row r="220" spans="2:4">
      <c r="C220" s="1">
        <v>41</v>
      </c>
      <c r="D220" s="26"/>
    </row>
    <row r="221" spans="2:4">
      <c r="C221" s="1">
        <v>42</v>
      </c>
      <c r="D221" s="26"/>
    </row>
    <row r="222" spans="2:4">
      <c r="C222" s="1">
        <v>43</v>
      </c>
      <c r="D222" s="26"/>
    </row>
    <row r="223" spans="2:4">
      <c r="C223" s="1">
        <v>44</v>
      </c>
      <c r="D223" s="26"/>
    </row>
    <row r="224" spans="2:4">
      <c r="C224" s="1">
        <v>45</v>
      </c>
      <c r="D224" s="26"/>
    </row>
    <row r="225" spans="2:4">
      <c r="B225" t="str">
        <f>CONCATENATE(Otros[[#Headers],[Otros]],P2)</f>
        <v>OtrosPrimeraCapa</v>
      </c>
      <c r="C225" s="1" t="s">
        <v>128</v>
      </c>
      <c r="D225" s="27">
        <v>10200</v>
      </c>
    </row>
    <row r="226" spans="2:4">
      <c r="C226" s="1" t="s">
        <v>124</v>
      </c>
    </row>
    <row r="227" spans="2:4">
      <c r="B227" t="str">
        <f>CONCATENATE(Otros[[#Headers],[Otros]],P3)</f>
        <v>OtrosPasamontañas</v>
      </c>
      <c r="C227" s="1" t="s">
        <v>83</v>
      </c>
      <c r="D227" s="27">
        <v>10000</v>
      </c>
    </row>
    <row r="228" spans="2:4">
      <c r="C228" s="1" t="s">
        <v>124</v>
      </c>
    </row>
    <row r="229" spans="2:4">
      <c r="B229" t="str">
        <f>CONCATENATE(Otros[[#Headers],[Otros]],P4)</f>
        <v>OtrosAntiparraAntiempañante</v>
      </c>
      <c r="C229" s="1" t="s">
        <v>131</v>
      </c>
      <c r="D229" s="27">
        <v>9300</v>
      </c>
    </row>
    <row r="230" spans="2:4">
      <c r="C230" s="1" t="s">
        <v>124</v>
      </c>
    </row>
    <row r="231" spans="2:4">
      <c r="B231" t="str">
        <f>CONCATENATE(Otros[[#Headers],[Otros]],P5)</f>
        <v>OtrosChalecoReflectante</v>
      </c>
      <c r="C231" s="1" t="s">
        <v>132</v>
      </c>
      <c r="D231" s="27">
        <v>10200</v>
      </c>
    </row>
    <row r="232" spans="2:4">
      <c r="C232" s="1" t="s">
        <v>124</v>
      </c>
    </row>
    <row r="233" spans="2:4">
      <c r="B233" t="str">
        <f>CONCATENATE(Otros[[#Headers],[Otros]],P6)</f>
        <v>OtrosRopaAgua</v>
      </c>
      <c r="C233" s="1" t="s">
        <v>134</v>
      </c>
      <c r="D233" s="27">
        <v>1000</v>
      </c>
    </row>
    <row r="234" spans="2:4">
      <c r="C234" s="1" t="s">
        <v>63</v>
      </c>
    </row>
    <row r="235" spans="2:4">
      <c r="C235" s="1" t="s">
        <v>8</v>
      </c>
    </row>
    <row r="236" spans="2:4">
      <c r="C236" s="1" t="s">
        <v>62</v>
      </c>
    </row>
    <row r="237" spans="2:4">
      <c r="C237" s="1" t="s">
        <v>80</v>
      </c>
    </row>
    <row r="238" spans="2:4">
      <c r="C238" s="1" t="s">
        <v>81</v>
      </c>
    </row>
    <row r="239" spans="2:4">
      <c r="C239" s="1" t="s">
        <v>105</v>
      </c>
    </row>
    <row r="244" spans="4:4">
      <c r="D244" s="29"/>
    </row>
  </sheetData>
  <dataConsolidate/>
  <pageMargins left="0.7" right="0.7" top="0.75" bottom="0.75" header="0.3" footer="0.3"/>
  <pageSetup paperSize="9" orientation="portrait" r:id="rId1"/>
  <tableParts count="4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4:O36"/>
  <sheetViews>
    <sheetView showGridLines="0" zoomScale="70" zoomScaleNormal="70" workbookViewId="0">
      <selection activeCell="I16" sqref="I16"/>
    </sheetView>
  </sheetViews>
  <sheetFormatPr baseColWidth="10" defaultRowHeight="12.5"/>
  <cols>
    <col min="2" max="2" width="18.81640625" bestFit="1" customWidth="1"/>
    <col min="3" max="3" width="17.36328125" bestFit="1" customWidth="1"/>
    <col min="5" max="5" width="18.81640625" bestFit="1" customWidth="1"/>
    <col min="6" max="6" width="17.36328125" bestFit="1" customWidth="1"/>
    <col min="7" max="7" width="3.54296875" customWidth="1"/>
    <col min="8" max="8" width="20" bestFit="1" customWidth="1"/>
    <col min="9" max="9" width="20.6328125" bestFit="1" customWidth="1"/>
    <col min="10" max="10" width="23.81640625" bestFit="1" customWidth="1"/>
    <col min="11" max="11" width="20" bestFit="1" customWidth="1"/>
    <col min="12" max="12" width="17.36328125" customWidth="1"/>
    <col min="14" max="14" width="20" bestFit="1" customWidth="1"/>
    <col min="15" max="15" width="20.6328125" customWidth="1"/>
  </cols>
  <sheetData>
    <row r="4" spans="2:15">
      <c r="B4" s="16" t="s">
        <v>71</v>
      </c>
      <c r="C4" t="s">
        <v>136</v>
      </c>
      <c r="E4" s="16" t="s">
        <v>88</v>
      </c>
      <c r="F4" t="s">
        <v>87</v>
      </c>
      <c r="H4" s="34" t="s">
        <v>88</v>
      </c>
      <c r="I4" s="24" t="s">
        <v>140</v>
      </c>
      <c r="J4" s="24" t="s">
        <v>144</v>
      </c>
      <c r="K4" s="34" t="s">
        <v>88</v>
      </c>
      <c r="L4" s="17" t="s">
        <v>87</v>
      </c>
      <c r="N4" s="34" t="s">
        <v>88</v>
      </c>
      <c r="O4" s="24" t="s">
        <v>140</v>
      </c>
    </row>
    <row r="5" spans="2:15">
      <c r="E5" s="8" t="s">
        <v>90</v>
      </c>
      <c r="F5">
        <v>16</v>
      </c>
      <c r="H5" s="35" t="s">
        <v>90</v>
      </c>
      <c r="I5" s="24">
        <v>131600</v>
      </c>
      <c r="J5" s="24">
        <v>16450</v>
      </c>
      <c r="K5" s="35" t="s">
        <v>90</v>
      </c>
      <c r="L5" s="17">
        <v>8</v>
      </c>
      <c r="N5" s="35" t="s">
        <v>90</v>
      </c>
      <c r="O5" s="24">
        <v>131600</v>
      </c>
    </row>
    <row r="6" spans="2:15">
      <c r="B6" t="s">
        <v>87</v>
      </c>
      <c r="E6" s="33" t="s">
        <v>108</v>
      </c>
      <c r="F6">
        <v>16</v>
      </c>
      <c r="H6" s="36" t="s">
        <v>108</v>
      </c>
      <c r="I6" s="24">
        <v>131600</v>
      </c>
      <c r="J6" s="24">
        <v>16450</v>
      </c>
      <c r="K6" s="35" t="s">
        <v>91</v>
      </c>
      <c r="L6" s="17">
        <v>3</v>
      </c>
      <c r="N6" s="35" t="s">
        <v>91</v>
      </c>
      <c r="O6" s="24">
        <v>74040</v>
      </c>
    </row>
    <row r="7" spans="2:15">
      <c r="B7" s="37">
        <v>23</v>
      </c>
      <c r="E7" s="8" t="s">
        <v>91</v>
      </c>
      <c r="F7">
        <v>6</v>
      </c>
      <c r="H7" s="35" t="s">
        <v>91</v>
      </c>
      <c r="I7" s="24">
        <v>74040</v>
      </c>
      <c r="J7" s="24">
        <v>24680</v>
      </c>
      <c r="K7" s="35" t="s">
        <v>78</v>
      </c>
      <c r="L7" s="17">
        <v>1</v>
      </c>
      <c r="N7" s="35" t="s">
        <v>78</v>
      </c>
      <c r="O7" s="24">
        <v>47790</v>
      </c>
    </row>
    <row r="8" spans="2:15">
      <c r="E8" s="33" t="s">
        <v>112</v>
      </c>
      <c r="F8">
        <v>4</v>
      </c>
      <c r="H8" s="36" t="s">
        <v>112</v>
      </c>
      <c r="I8" s="24">
        <v>49360</v>
      </c>
      <c r="J8" s="24">
        <v>24680</v>
      </c>
      <c r="K8" s="35" t="s">
        <v>133</v>
      </c>
      <c r="L8" s="17">
        <v>1</v>
      </c>
      <c r="N8" s="35" t="s">
        <v>133</v>
      </c>
      <c r="O8" s="24">
        <v>38000</v>
      </c>
    </row>
    <row r="9" spans="2:15">
      <c r="B9" s="17">
        <f>GETPIVOTDATA("Suma de Cantidad",$B$6)</f>
        <v>23</v>
      </c>
      <c r="C9" s="18"/>
      <c r="E9" s="33" t="s">
        <v>113</v>
      </c>
      <c r="F9">
        <v>2</v>
      </c>
      <c r="H9" s="36" t="s">
        <v>113</v>
      </c>
      <c r="I9" s="24">
        <v>24680</v>
      </c>
      <c r="J9" s="24">
        <v>24680</v>
      </c>
      <c r="K9" s="35" t="s">
        <v>93</v>
      </c>
      <c r="L9" s="17">
        <v>1</v>
      </c>
      <c r="N9" s="35" t="s">
        <v>93</v>
      </c>
      <c r="O9" s="24">
        <v>8950</v>
      </c>
    </row>
    <row r="10" spans="2:15">
      <c r="E10" s="8" t="s">
        <v>78</v>
      </c>
      <c r="F10">
        <v>2</v>
      </c>
      <c r="H10" s="35" t="s">
        <v>78</v>
      </c>
      <c r="I10" s="24">
        <v>47790</v>
      </c>
      <c r="J10" s="24">
        <v>47790</v>
      </c>
      <c r="K10" s="35" t="s">
        <v>99</v>
      </c>
      <c r="L10" s="17">
        <v>4</v>
      </c>
      <c r="N10" s="35" t="s">
        <v>99</v>
      </c>
      <c r="O10" s="24">
        <v>108000</v>
      </c>
    </row>
    <row r="11" spans="2:15">
      <c r="E11" s="33" t="s">
        <v>94</v>
      </c>
      <c r="F11">
        <v>2</v>
      </c>
      <c r="H11" s="36" t="s">
        <v>94</v>
      </c>
      <c r="I11" s="24">
        <v>47790</v>
      </c>
      <c r="J11" s="24">
        <v>47790</v>
      </c>
      <c r="K11" s="35" t="s">
        <v>202</v>
      </c>
      <c r="L11" s="17">
        <v>5</v>
      </c>
      <c r="N11" s="35" t="s">
        <v>202</v>
      </c>
      <c r="O11" s="24">
        <v>80000</v>
      </c>
    </row>
    <row r="12" spans="2:15">
      <c r="E12" s="8" t="s">
        <v>133</v>
      </c>
      <c r="F12">
        <v>2</v>
      </c>
      <c r="H12" s="35" t="s">
        <v>133</v>
      </c>
      <c r="I12" s="24">
        <v>38000</v>
      </c>
      <c r="J12" s="24">
        <v>38000</v>
      </c>
      <c r="K12" s="35" t="s">
        <v>89</v>
      </c>
      <c r="L12" s="17">
        <v>23</v>
      </c>
      <c r="N12" s="35" t="s">
        <v>89</v>
      </c>
      <c r="O12" s="24">
        <v>488380</v>
      </c>
    </row>
    <row r="13" spans="2:15">
      <c r="B13" s="16" t="s">
        <v>71</v>
      </c>
      <c r="C13" t="s">
        <v>136</v>
      </c>
      <c r="E13" s="33" t="s">
        <v>98</v>
      </c>
      <c r="F13">
        <v>2</v>
      </c>
      <c r="H13" s="36" t="s">
        <v>98</v>
      </c>
      <c r="I13" s="24">
        <v>38000</v>
      </c>
      <c r="J13" s="24">
        <v>38000</v>
      </c>
    </row>
    <row r="14" spans="2:15">
      <c r="E14" s="8" t="s">
        <v>93</v>
      </c>
      <c r="F14">
        <v>2</v>
      </c>
      <c r="H14" s="35" t="s">
        <v>93</v>
      </c>
      <c r="I14" s="24">
        <v>8950</v>
      </c>
      <c r="J14" s="24">
        <v>8950</v>
      </c>
    </row>
    <row r="15" spans="2:15">
      <c r="B15" t="s">
        <v>140</v>
      </c>
      <c r="E15" s="33" t="s">
        <v>126</v>
      </c>
      <c r="F15">
        <v>2</v>
      </c>
      <c r="H15" s="36" t="s">
        <v>126</v>
      </c>
      <c r="I15" s="24">
        <v>8950</v>
      </c>
      <c r="J15" s="24">
        <v>8950</v>
      </c>
    </row>
    <row r="16" spans="2:15">
      <c r="B16" s="37">
        <v>488380</v>
      </c>
      <c r="E16" s="8" t="s">
        <v>99</v>
      </c>
      <c r="F16">
        <v>7</v>
      </c>
      <c r="H16" s="35" t="s">
        <v>99</v>
      </c>
      <c r="I16" s="24">
        <v>108000</v>
      </c>
      <c r="J16" s="24">
        <v>27000</v>
      </c>
    </row>
    <row r="17" spans="2:10">
      <c r="E17" s="33" t="s">
        <v>101</v>
      </c>
      <c r="F17">
        <v>7</v>
      </c>
      <c r="H17" s="36" t="s">
        <v>101</v>
      </c>
      <c r="I17" s="24">
        <v>108000</v>
      </c>
      <c r="J17" s="24">
        <v>27000</v>
      </c>
    </row>
    <row r="18" spans="2:10">
      <c r="B18" s="18">
        <f>GETPIVOTDATA("Costo Total",$B$15)</f>
        <v>488380</v>
      </c>
      <c r="C18" s="18"/>
      <c r="E18" s="8" t="s">
        <v>202</v>
      </c>
      <c r="F18">
        <v>5</v>
      </c>
      <c r="H18" s="35" t="s">
        <v>202</v>
      </c>
      <c r="I18" s="24">
        <v>80000</v>
      </c>
      <c r="J18" s="24">
        <v>16000</v>
      </c>
    </row>
    <row r="19" spans="2:10">
      <c r="E19" s="33" t="s">
        <v>84</v>
      </c>
      <c r="F19">
        <v>2</v>
      </c>
      <c r="H19" s="36" t="s">
        <v>84</v>
      </c>
      <c r="I19" s="24">
        <v>20000</v>
      </c>
      <c r="J19" s="24">
        <v>10000</v>
      </c>
    </row>
    <row r="20" spans="2:10">
      <c r="E20" s="33" t="s">
        <v>103</v>
      </c>
      <c r="F20">
        <v>3</v>
      </c>
      <c r="H20" s="36" t="s">
        <v>103</v>
      </c>
      <c r="I20" s="24">
        <v>60000</v>
      </c>
      <c r="J20" s="24">
        <v>20000</v>
      </c>
    </row>
    <row r="21" spans="2:10">
      <c r="E21" s="8" t="s">
        <v>89</v>
      </c>
      <c r="F21">
        <v>40</v>
      </c>
      <c r="H21" s="35" t="s">
        <v>89</v>
      </c>
      <c r="I21" s="24">
        <v>488380</v>
      </c>
      <c r="J21" s="24">
        <v>21233.91304347826</v>
      </c>
    </row>
    <row r="25" spans="2:10">
      <c r="B25" s="16" t="s">
        <v>88</v>
      </c>
      <c r="C25" t="s">
        <v>87</v>
      </c>
    </row>
    <row r="26" spans="2:10">
      <c r="B26" s="8" t="s">
        <v>85</v>
      </c>
      <c r="C26" s="37">
        <v>23</v>
      </c>
    </row>
    <row r="27" spans="2:10">
      <c r="B27" s="8" t="s">
        <v>203</v>
      </c>
      <c r="C27" s="37">
        <v>17</v>
      </c>
    </row>
    <row r="28" spans="2:10">
      <c r="B28" s="8" t="s">
        <v>89</v>
      </c>
      <c r="C28" s="37">
        <v>40</v>
      </c>
    </row>
    <row r="31" spans="2:10" ht="13">
      <c r="B31" s="38" t="s">
        <v>85</v>
      </c>
      <c r="C31" s="38" t="s">
        <v>86</v>
      </c>
    </row>
    <row r="34" spans="2:3">
      <c r="B34" s="1">
        <f>IFERROR(GETPIVOTDATA("Cantidad",$B$25,"Entrgado","NO"),"")</f>
        <v>23</v>
      </c>
      <c r="C34" s="1">
        <f>IFERROR(GETPIVOTDATA("Cantidad",$B$25,"Entrgado","SI"),"")</f>
        <v>17</v>
      </c>
    </row>
    <row r="36" spans="2:3">
      <c r="B36" s="40">
        <f>IFERROR(GETPIVOTDATA("Cantidad",$B$25,"Entrgado","NO")/GETPIVOTDATA("Cantidad",$B$25),"0%")</f>
        <v>0.57499999999999996</v>
      </c>
      <c r="C36" s="40">
        <f>IFERROR(GETPIVOTDATA("Cantidad",$B$25,"Entrgado","SI")/GETPIVOTDATA("Cantidad",$B$25),"0%")</f>
        <v>0.42499999999999999</v>
      </c>
    </row>
  </sheetData>
  <pageMargins left="0.7" right="0.7" top="0.75" bottom="0.75" header="0.3" footer="0.3"/>
  <pageSetup paperSize="9" orientation="portrait" horizontalDpi="0" verticalDpi="0" r:id="rId8"/>
</worksheet>
</file>

<file path=docMetadata/LabelInfo.xml><?xml version="1.0" encoding="utf-8"?>
<clbl:labelList xmlns:clbl="http://schemas.microsoft.com/office/2020/mipLabelMetadata">
  <clbl:label id="{dde15eeb-a6bd-46a2-9f03-d44429074ecf}" enabled="0" method="" siteId="{dde15eeb-a6bd-46a2-9f03-d44429074ec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DashBoard</vt:lpstr>
      <vt:lpstr>Registro</vt:lpstr>
      <vt:lpstr>Maestro</vt:lpstr>
      <vt:lpstr>EPP</vt:lpstr>
      <vt:lpstr>Analisis</vt:lpstr>
      <vt:lpstr>Registro!Área_de_impresión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Medeiros, Diego</dc:creator>
  <cp:lastModifiedBy>sergio hueraman</cp:lastModifiedBy>
  <cp:lastPrinted>2024-03-20T13:22:51Z</cp:lastPrinted>
  <dcterms:created xsi:type="dcterms:W3CDTF">2016-09-06T19:58:53Z</dcterms:created>
  <dcterms:modified xsi:type="dcterms:W3CDTF">2025-12-21T03:04:55Z</dcterms:modified>
</cp:coreProperties>
</file>