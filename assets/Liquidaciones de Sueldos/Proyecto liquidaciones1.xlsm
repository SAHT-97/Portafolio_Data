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\Documents\Dev_\Visual Studio Code\Portafolio\assets\Liquidaciones de Sueldos\"/>
    </mc:Choice>
  </mc:AlternateContent>
  <xr:revisionPtr revIDLastSave="0" documentId="13_ncr:1_{888D016D-D51D-49F2-9043-684B585E42D6}" xr6:coauthVersionLast="47" xr6:coauthVersionMax="47" xr10:uidLastSave="{00000000-0000-0000-0000-000000000000}"/>
  <bookViews>
    <workbookView xWindow="-110" yWindow="-110" windowWidth="19420" windowHeight="10300" firstSheet="1" activeTab="3" xr2:uid="{00000000-000D-0000-FFFF-FFFF00000000}"/>
  </bookViews>
  <sheets>
    <sheet name="Info_Indicadores" sheetId="3" r:id="rId1"/>
    <sheet name="Calculo_dias_horas" sheetId="8" r:id="rId2"/>
    <sheet name="Control_asistencia" sheetId="9" r:id="rId3"/>
    <sheet name="Trabajadores" sheetId="6" r:id="rId4"/>
    <sheet name="Liquidación" sheetId="1" r:id="rId5"/>
    <sheet name="bd_liquidación" sheetId="7" r:id="rId6"/>
    <sheet name="Datos_Empresa" sheetId="5" r:id="rId7"/>
  </sheets>
  <functionGroups builtInGroupCount="19"/>
  <definedNames>
    <definedName name="_xleta.DAY" hidden="1" xlm="1">#NAME?</definedName>
    <definedName name="_xleta.IF" hidden="1" xlm="1">#NAME?</definedName>
    <definedName name="_xleta.N" hidden="1" xlm="1">#NAME?</definedName>
    <definedName name="_xleta.NETWORKDAYS.INTL" hidden="1" xlm="1">#NAME?</definedName>
    <definedName name="_xleta.SEQUENCE" hidden="1" xlm="1">#NAME?</definedName>
    <definedName name="_xleta.TEXT" hidden="1" xlm="1">#NAME?</definedName>
    <definedName name="Completa">Info_Indicadores!$H$17:$H$31</definedName>
    <definedName name="DatosExternos_1" localSheetId="0" hidden="1">Info_Indicadores!$A$4:$B$16</definedName>
    <definedName name="DatosExternos_2" localSheetId="0" hidden="1">Info_Indicadores!$D$4:$H$12</definedName>
    <definedName name="Full">Info_Indicadores!$H$17:$H$31</definedName>
    <definedName name="Jornada">#REF!</definedName>
    <definedName name="ornada">Info_Indicadores!$K$17:$K$19</definedName>
    <definedName name="Parcial">Info_Indicadores!$G$17:$G$18</definedName>
    <definedName name="Tipo">Info_Indicadores!$K$17:$K$19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8" l="1"/>
  <c r="N3" i="1"/>
  <c r="Q5" i="8"/>
  <c r="H39" i="8"/>
  <c r="P38" i="8"/>
  <c r="P39" i="8" s="1"/>
  <c r="H37" i="8"/>
  <c r="P37" i="8"/>
  <c r="P35" i="8"/>
  <c r="P36" i="8"/>
  <c r="H36" i="8"/>
  <c r="H35" i="8"/>
  <c r="R33" i="8"/>
  <c r="Q33" i="8"/>
  <c r="M17" i="8"/>
  <c r="P4" i="6"/>
  <c r="P5" i="6"/>
  <c r="P6" i="6"/>
  <c r="P7" i="6"/>
  <c r="P8" i="6"/>
  <c r="P9" i="6"/>
  <c r="D15" i="8" a="1"/>
  <c r="D15" i="8" s="1"/>
  <c r="D16" i="8" s="1"/>
  <c r="D13" i="8"/>
  <c r="I13" i="8" s="1"/>
  <c r="M20" i="8"/>
  <c r="M23" i="8"/>
  <c r="M26" i="8"/>
  <c r="M29" i="8"/>
  <c r="M32" i="8"/>
  <c r="H38" i="8" l="1"/>
  <c r="P24" i="8" s="1"/>
  <c r="L17" i="8" a="1"/>
  <c r="L17" i="8" s="1"/>
  <c r="K17" i="8" s="1"/>
  <c r="H16" i="8"/>
  <c r="F16" i="8"/>
  <c r="D18" i="8"/>
  <c r="I16" i="8"/>
  <c r="G16" i="8"/>
  <c r="E16" i="8"/>
  <c r="J16" i="8"/>
  <c r="P30" i="8" l="1"/>
  <c r="P17" i="8"/>
  <c r="P27" i="8"/>
  <c r="P23" i="8"/>
  <c r="P21" i="8"/>
  <c r="P29" i="8"/>
  <c r="P26" i="8"/>
  <c r="P32" i="8"/>
  <c r="P18" i="8"/>
  <c r="P20" i="8"/>
  <c r="S18" i="8"/>
  <c r="O18" i="8"/>
  <c r="N18" i="8"/>
  <c r="O17" i="8"/>
  <c r="S17" i="8"/>
  <c r="N17" i="8"/>
  <c r="D19" i="8"/>
  <c r="E18" i="8"/>
  <c r="E19" i="8" s="1"/>
  <c r="P33" i="8" l="1"/>
  <c r="F18" i="8"/>
  <c r="G18" i="8" s="1"/>
  <c r="F19" i="8" l="1"/>
  <c r="H18" i="8"/>
  <c r="G19" i="8"/>
  <c r="I18" i="8" l="1"/>
  <c r="H19" i="8"/>
  <c r="J18" i="8" l="1"/>
  <c r="I19" i="8"/>
  <c r="L20" i="8" l="1" a="1"/>
  <c r="L20" i="8" s="1"/>
  <c r="K20" i="8" s="1"/>
  <c r="D21" i="8"/>
  <c r="J19" i="8"/>
  <c r="O21" i="8" s="1"/>
  <c r="O20" i="8" l="1"/>
  <c r="S21" i="8"/>
  <c r="N21" i="8"/>
  <c r="S20" i="8"/>
  <c r="N20" i="8"/>
  <c r="E21" i="8"/>
  <c r="D22" i="8"/>
  <c r="F21" i="8" l="1"/>
  <c r="E22" i="8"/>
  <c r="G21" i="8" l="1"/>
  <c r="F22" i="8"/>
  <c r="H21" i="8" l="1"/>
  <c r="G22" i="8"/>
  <c r="I21" i="8" l="1"/>
  <c r="H22" i="8"/>
  <c r="J21" i="8" l="1"/>
  <c r="I22" i="8"/>
  <c r="L23" i="8" l="1" a="1"/>
  <c r="L23" i="8" s="1"/>
  <c r="D24" i="8"/>
  <c r="J22" i="8"/>
  <c r="O24" i="8" s="1"/>
  <c r="K23" i="8" l="1"/>
  <c r="O23" i="8" s="1"/>
  <c r="S24" i="8"/>
  <c r="N24" i="8"/>
  <c r="E24" i="8"/>
  <c r="D25" i="8"/>
  <c r="N23" i="8" l="1"/>
  <c r="S23" i="8"/>
  <c r="F24" i="8"/>
  <c r="E25" i="8"/>
  <c r="G24" i="8" l="1"/>
  <c r="F25" i="8"/>
  <c r="H24" i="8" l="1"/>
  <c r="G25" i="8"/>
  <c r="I24" i="8" l="1"/>
  <c r="H25" i="8"/>
  <c r="J24" i="8" l="1"/>
  <c r="I25" i="8"/>
  <c r="L26" i="8" l="1" a="1"/>
  <c r="L26" i="8" s="1"/>
  <c r="J25" i="8"/>
  <c r="O27" i="8" s="1"/>
  <c r="D27" i="8"/>
  <c r="K26" i="8" l="1"/>
  <c r="N26" i="8" s="1"/>
  <c r="S27" i="8"/>
  <c r="N27" i="8"/>
  <c r="D28" i="8"/>
  <c r="E27" i="8"/>
  <c r="S26" i="8" l="1"/>
  <c r="O26" i="8"/>
  <c r="E28" i="8"/>
  <c r="F27" i="8"/>
  <c r="F28" i="8" l="1"/>
  <c r="G27" i="8"/>
  <c r="G28" i="8" l="1"/>
  <c r="H27" i="8"/>
  <c r="I27" i="8" l="1"/>
  <c r="H28" i="8"/>
  <c r="J27" i="8" l="1"/>
  <c r="I28" i="8"/>
  <c r="L29" i="8" l="1" a="1"/>
  <c r="L29" i="8" s="1"/>
  <c r="J28" i="8"/>
  <c r="D30" i="8"/>
  <c r="K29" i="8" l="1"/>
  <c r="S29" i="8" s="1"/>
  <c r="N30" i="8"/>
  <c r="O30" i="8"/>
  <c r="S30" i="8"/>
  <c r="E30" i="8"/>
  <c r="D31" i="8"/>
  <c r="O29" i="8" l="1"/>
  <c r="N29" i="8"/>
  <c r="E31" i="8"/>
  <c r="F30" i="8"/>
  <c r="G30" i="8" l="1"/>
  <c r="F31" i="8"/>
  <c r="H30" i="8" l="1"/>
  <c r="G31" i="8"/>
  <c r="I30" i="8" l="1"/>
  <c r="J30" i="8" s="1"/>
  <c r="H31" i="8"/>
  <c r="L32" i="8" l="1" a="1"/>
  <c r="L32" i="8" s="1"/>
  <c r="L33" i="8" s="1"/>
  <c r="I31" i="8"/>
  <c r="K32" i="8" l="1"/>
  <c r="O32" i="8" s="1"/>
  <c r="J31" i="8"/>
  <c r="O33" i="8" l="1"/>
  <c r="P10" i="8" s="1"/>
  <c r="S32" i="8"/>
  <c r="K33" i="8"/>
  <c r="N32" i="8"/>
  <c r="N33" i="8" s="1"/>
  <c r="M33" i="8"/>
  <c r="P8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789024D-71A0-4F4F-B7A2-8CA0424771AF}" keepAlive="1" name="Consulta - Monto de Cálculo del Impuesto Único de Segunda Categoría" description="Conexión a la consulta 'Monto de Cálculo del Impuesto Único de Segunda Categoría' en el libro." type="5" refreshedVersion="8" background="1" saveData="1">
    <dbPr connection="Provider=Microsoft.Mashup.OleDb.1;Data Source=$Workbook$;Location=&quot;Monto de Cálculo del Impuesto Único de Segunda Categoría&quot;;Extended Properties=&quot;&quot;" command="SELECT * FROM [Monto de Cálculo del Impuesto Único de Segunda Categoría]"/>
  </connection>
  <connection id="2" xr16:uid="{818BF3A7-37E3-46C3-B7A8-95593CC1F146}" keepAlive="1" name="Consulta - Valor_mensual_UTM" description="Conexión a la consulta 'Valor_mensual_UTM' en el libro." type="5" refreshedVersion="8" background="1" saveData="1">
    <dbPr connection="Provider=Microsoft.Mashup.OleDb.1;Data Source=$Workbook$;Location=Valor_mensual_UTM;Extended Properties=&quot;&quot;" command="SELECT * FROM [Valor_mensual_UT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<sst xmlns="http://schemas.openxmlformats.org/spreadsheetml/2006/main" count="264" uniqueCount="212">
  <si>
    <t>Hasta</t>
  </si>
  <si>
    <t>Tramo</t>
  </si>
  <si>
    <t xml:space="preserve">Desde </t>
  </si>
  <si>
    <t>Valor</t>
  </si>
  <si>
    <t>y mas</t>
  </si>
  <si>
    <t>A</t>
  </si>
  <si>
    <t>B</t>
  </si>
  <si>
    <t>C</t>
  </si>
  <si>
    <t>D</t>
  </si>
  <si>
    <t>Rut</t>
  </si>
  <si>
    <t>Razon Social</t>
  </si>
  <si>
    <t>Giro</t>
  </si>
  <si>
    <t>Nombres</t>
  </si>
  <si>
    <t>Apellidos</t>
  </si>
  <si>
    <t xml:space="preserve">Cargo </t>
  </si>
  <si>
    <t>Cel</t>
  </si>
  <si>
    <t>Correo</t>
  </si>
  <si>
    <t xml:space="preserve">Sergio </t>
  </si>
  <si>
    <t>Hueraman</t>
  </si>
  <si>
    <t>Desde</t>
  </si>
  <si>
    <t>Factor</t>
  </si>
  <si>
    <t>Cantidad a rebajar</t>
  </si>
  <si>
    <t>Tasa de Impuesto Efectiva, máxima por cada tramo de Renta</t>
  </si>
  <si>
    <t>-.-</t>
  </si>
  <si>
    <t>$ 926.748,00</t>
  </si>
  <si>
    <t>Exento</t>
  </si>
  <si>
    <t>$ 926.748,01</t>
  </si>
  <si>
    <t>$ 2.059.440,00</t>
  </si>
  <si>
    <t>0,04</t>
  </si>
  <si>
    <t>$ 37.069,92</t>
  </si>
  <si>
    <t>2,20%</t>
  </si>
  <si>
    <t>$ 2.059.440,01</t>
  </si>
  <si>
    <t>$ 3.432.400,00</t>
  </si>
  <si>
    <t>0,08</t>
  </si>
  <si>
    <t>$ 119.447,52</t>
  </si>
  <si>
    <t>4,52%</t>
  </si>
  <si>
    <t>$ 3.432.400,01</t>
  </si>
  <si>
    <t>$ 4.805.360,00</t>
  </si>
  <si>
    <t>0,135</t>
  </si>
  <si>
    <t>$ 308.229,52</t>
  </si>
  <si>
    <t>7,09%</t>
  </si>
  <si>
    <t>$ 4.805.360,01</t>
  </si>
  <si>
    <t>$ 6.178.320,00</t>
  </si>
  <si>
    <t>0,23</t>
  </si>
  <si>
    <t>$ 764.738,72</t>
  </si>
  <si>
    <t>10,62%</t>
  </si>
  <si>
    <t>$ 6.178.320,01</t>
  </si>
  <si>
    <t>$ 8.237.760,00</t>
  </si>
  <si>
    <t>0,304</t>
  </si>
  <si>
    <t>$ 1.221.934,40</t>
  </si>
  <si>
    <t>15,57%</t>
  </si>
  <si>
    <t>$ 8.237.760,01</t>
  </si>
  <si>
    <t>$ 21.280.880,00</t>
  </si>
  <si>
    <t>0,35</t>
  </si>
  <si>
    <t>$ 1.600.871,36</t>
  </si>
  <si>
    <t>27,48%</t>
  </si>
  <si>
    <t>$ 21.280.880,01</t>
  </si>
  <si>
    <t>Y MÁS</t>
  </si>
  <si>
    <t>0,4</t>
  </si>
  <si>
    <t>$ 2.664.915,36</t>
  </si>
  <si>
    <t>MÁS DE 27,48%</t>
  </si>
  <si>
    <t>19.465.113-9</t>
  </si>
  <si>
    <t>2025</t>
  </si>
  <si>
    <t>UTM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</si>
  <si>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</si>
  <si>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</si>
  <si>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</si>
  <si>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</si>
  <si>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</si>
  <si>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</si>
  <si>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</si>
  <si>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</si>
  <si>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</si>
  <si>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</si>
  <si>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</si>
  <si>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</si>
  <si>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Contador</t>
  </si>
  <si>
    <t>andreshueraman.st@gmail.com</t>
  </si>
  <si>
    <t>ID</t>
  </si>
  <si>
    <t>T -01</t>
  </si>
  <si>
    <t>T -02</t>
  </si>
  <si>
    <t>T -03</t>
  </si>
  <si>
    <t>T -04</t>
  </si>
  <si>
    <t>T -05</t>
  </si>
  <si>
    <t>T -06</t>
  </si>
  <si>
    <t xml:space="preserve">Juan </t>
  </si>
  <si>
    <t xml:space="preserve">antonio </t>
  </si>
  <si>
    <t>20.784.646-8</t>
  </si>
  <si>
    <t xml:space="preserve">Gerente </t>
  </si>
  <si>
    <t>lanco.djlajf@gmail.com</t>
  </si>
  <si>
    <t>Analista de datos</t>
  </si>
  <si>
    <t>Programador</t>
  </si>
  <si>
    <t>Administrador</t>
  </si>
  <si>
    <t>Auxiliar</t>
  </si>
  <si>
    <t>20.125.151-6</t>
  </si>
  <si>
    <t>19.465.113-10</t>
  </si>
  <si>
    <t>20.784.646-9</t>
  </si>
  <si>
    <t>20.125.151-7</t>
  </si>
  <si>
    <t>Simpsons</t>
  </si>
  <si>
    <t>Smith</t>
  </si>
  <si>
    <t>Jorge</t>
  </si>
  <si>
    <t>Analia</t>
  </si>
  <si>
    <t xml:space="preserve">Maria </t>
  </si>
  <si>
    <t>Gonzalo</t>
  </si>
  <si>
    <t>Blacksail</t>
  </si>
  <si>
    <t>Guantanamera</t>
  </si>
  <si>
    <t>Las Araucarias</t>
  </si>
  <si>
    <t>15.262.296-1</t>
  </si>
  <si>
    <t>Ventas al por menor</t>
  </si>
  <si>
    <t>Días Trabajados</t>
  </si>
  <si>
    <t>Horas Extras</t>
  </si>
  <si>
    <t>Fecha de Ingreso</t>
  </si>
  <si>
    <t>Tipo de Contrato</t>
  </si>
  <si>
    <t>Fijo</t>
  </si>
  <si>
    <t>Indifinidos</t>
  </si>
  <si>
    <t>Honorarios</t>
  </si>
  <si>
    <t>Por obra</t>
  </si>
  <si>
    <t>Prevision</t>
  </si>
  <si>
    <t>AFP modelo</t>
  </si>
  <si>
    <t xml:space="preserve">cuprum </t>
  </si>
  <si>
    <t>habitat</t>
  </si>
  <si>
    <t>provida</t>
  </si>
  <si>
    <t>uno</t>
  </si>
  <si>
    <t>Salud</t>
  </si>
  <si>
    <t>Fonasa</t>
  </si>
  <si>
    <t>Isapre</t>
  </si>
  <si>
    <t>Fosasa</t>
  </si>
  <si>
    <t>Valor Sulud</t>
  </si>
  <si>
    <t>Cargas Familiar</t>
  </si>
  <si>
    <t>Cant. Horas Extras</t>
  </si>
  <si>
    <t>Recargo</t>
  </si>
  <si>
    <t>Comisiónes</t>
  </si>
  <si>
    <t>Participaciones</t>
  </si>
  <si>
    <t>Gratifiacaión</t>
  </si>
  <si>
    <t>Asiganacion Familiar</t>
  </si>
  <si>
    <t>Colación</t>
  </si>
  <si>
    <t>Movilización</t>
  </si>
  <si>
    <t>APF</t>
  </si>
  <si>
    <t xml:space="preserve">Salud </t>
  </si>
  <si>
    <t>APV</t>
  </si>
  <si>
    <t>Seguro de Cesantía</t>
  </si>
  <si>
    <t xml:space="preserve">                              </t>
  </si>
  <si>
    <t>Fecha</t>
  </si>
  <si>
    <t>Cargo</t>
  </si>
  <si>
    <t>Lun</t>
  </si>
  <si>
    <t>Mar</t>
  </si>
  <si>
    <t>Mié</t>
  </si>
  <si>
    <t>Jue</t>
  </si>
  <si>
    <t>Vie</t>
  </si>
  <si>
    <t>Sáb</t>
  </si>
  <si>
    <t>Dom</t>
  </si>
  <si>
    <t>Horas Trabajadas</t>
  </si>
  <si>
    <t>Días</t>
  </si>
  <si>
    <t>Fecha de Emisión</t>
  </si>
  <si>
    <t>Gorias navale</t>
  </si>
  <si>
    <t>año nuevo</t>
  </si>
  <si>
    <t>Decripcion</t>
  </si>
  <si>
    <t>fgfdg</t>
  </si>
  <si>
    <t>Sábado, Domingo</t>
  </si>
  <si>
    <t>Domingo, Lunes</t>
  </si>
  <si>
    <t>Lunes, Martes</t>
  </si>
  <si>
    <t>Martes, Miércoles</t>
  </si>
  <si>
    <t>Miercoles, Jueves</t>
  </si>
  <si>
    <t>Jueves, Viernes</t>
  </si>
  <si>
    <t>Viernes, Sábado</t>
  </si>
  <si>
    <t>Solo Domingo</t>
  </si>
  <si>
    <t>Solo Lunes</t>
  </si>
  <si>
    <t>Solo Martes</t>
  </si>
  <si>
    <t>Solo Miércoles</t>
  </si>
  <si>
    <t>Solo Jueves</t>
  </si>
  <si>
    <t>Solo Viernes</t>
  </si>
  <si>
    <t>Solo Sábado</t>
  </si>
  <si>
    <t>Dias de descaso</t>
  </si>
  <si>
    <t>Nr°</t>
  </si>
  <si>
    <t>Cod</t>
  </si>
  <si>
    <t>Jornada Laboral</t>
  </si>
  <si>
    <t>Jornada</t>
  </si>
  <si>
    <t>Completa</t>
  </si>
  <si>
    <t>Parcial</t>
  </si>
  <si>
    <t>Cualquier día</t>
  </si>
  <si>
    <t>Horas Semanales</t>
  </si>
  <si>
    <t>Lab</t>
  </si>
  <si>
    <t>Sem</t>
  </si>
  <si>
    <t>Trab</t>
  </si>
  <si>
    <t>Desc</t>
  </si>
  <si>
    <t>Extras</t>
  </si>
  <si>
    <t>Horas</t>
  </si>
  <si>
    <t>Mes</t>
  </si>
  <si>
    <t>ID_Trabajador</t>
  </si>
  <si>
    <t>Nombre</t>
  </si>
  <si>
    <t>Apellido</t>
  </si>
  <si>
    <t>Dias Semana</t>
  </si>
  <si>
    <t>Jornada:</t>
  </si>
  <si>
    <t>Días descanzo</t>
  </si>
  <si>
    <t>Dias de Trabajo</t>
  </si>
  <si>
    <t>Vacaciones</t>
  </si>
  <si>
    <t>Si</t>
  </si>
  <si>
    <t>Fecha de emision</t>
  </si>
  <si>
    <t xml:space="preserve">Dias Trabajados </t>
  </si>
  <si>
    <t>Sueldo Base:</t>
  </si>
  <si>
    <t>40/</t>
  </si>
  <si>
    <t>Días Vacaciones</t>
  </si>
  <si>
    <t>Total días:</t>
  </si>
  <si>
    <t>Total de horas:</t>
  </si>
  <si>
    <t>No</t>
  </si>
  <si>
    <t>Días y Horas Trabajados</t>
  </si>
  <si>
    <t>Dias Trabajados</t>
  </si>
  <si>
    <t>Dias Falta</t>
  </si>
  <si>
    <t>HH Trabajadas</t>
  </si>
  <si>
    <t>HH Extras</t>
  </si>
  <si>
    <t>HH Descuento</t>
  </si>
  <si>
    <t>Registro de dias y Horas Trabajadas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</si>
</sst>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 &quot;$&quot;* #,##0_ ;_ &quot;$&quot;* \-#,##0_ ;_ &quot;$&quot;* &quot;-&quot;_ ;_ @_ "/>
    <numFmt numFmtId="41" formatCode="_ * #,##0_ ;_ * \-#,##0_ ;_ * &quot;-&quot;_ ;_ @_ "/>
    <numFmt numFmtId="164" formatCode="_ * #,##0.00_ ;_ * \-#,##0.00_ ;_ * &quot;-&quot;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182D4F"/>
      <name val="Segoe U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6AB48"/>
      <name val="Calibri"/>
      <family val="2"/>
      <scheme val="minor"/>
    </font>
    <font>
      <sz val="11"/>
      <color rgb="FF023516"/>
      <name val="Calibri"/>
      <family val="2"/>
      <scheme val="minor"/>
    </font>
    <font>
      <b/>
      <sz val="14"/>
      <color rgb="FF06AB48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1"/>
      <color rgb="FF06AB48"/>
      <name val="Calibri"/>
      <family val="2"/>
      <scheme val="minor"/>
    </font>
    <font>
      <sz val="11"/>
      <color rgb="FF05913D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023516"/>
        <bgColor indexed="64"/>
      </patternFill>
    </fill>
  </fills>
  <borders count="2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rgb="FF012711"/>
      </left>
      <right/>
      <top style="medium">
        <color rgb="FF012711"/>
      </top>
      <bottom/>
      <diagonal/>
    </border>
    <border>
      <left/>
      <right/>
      <top style="medium">
        <color rgb="FF012711"/>
      </top>
      <bottom/>
      <diagonal/>
    </border>
    <border>
      <left/>
      <right style="medium">
        <color rgb="FF012711"/>
      </right>
      <top style="medium">
        <color rgb="FF012711"/>
      </top>
      <bottom/>
      <diagonal/>
    </border>
    <border>
      <left style="medium">
        <color rgb="FF012711"/>
      </left>
      <right/>
      <top/>
      <bottom/>
      <diagonal/>
    </border>
    <border>
      <left/>
      <right style="medium">
        <color rgb="FF012711"/>
      </right>
      <top/>
      <bottom/>
      <diagonal/>
    </border>
    <border>
      <left style="medium">
        <color rgb="FF012711"/>
      </left>
      <right/>
      <top/>
      <bottom style="medium">
        <color rgb="FF012711"/>
      </bottom>
      <diagonal/>
    </border>
    <border>
      <left/>
      <right/>
      <top/>
      <bottom style="medium">
        <color rgb="FF012711"/>
      </bottom>
      <diagonal/>
    </border>
    <border>
      <left/>
      <right style="medium">
        <color rgb="FF012711"/>
      </right>
      <top/>
      <bottom style="medium">
        <color rgb="FF012711"/>
      </bottom>
      <diagonal/>
    </border>
    <border>
      <left style="mediumDashDot">
        <color rgb="FF012711"/>
      </left>
      <right/>
      <top style="medium">
        <color rgb="FF012711"/>
      </top>
      <bottom/>
      <diagonal/>
    </border>
    <border>
      <left style="medium">
        <color rgb="FF012711"/>
      </left>
      <right/>
      <top style="thin">
        <color rgb="FF012711"/>
      </top>
      <bottom style="double">
        <color rgb="FF012711"/>
      </bottom>
      <diagonal/>
    </border>
    <border>
      <left/>
      <right/>
      <top style="thin">
        <color rgb="FF012711"/>
      </top>
      <bottom style="double">
        <color rgb="FF012711"/>
      </bottom>
      <diagonal/>
    </border>
    <border>
      <left/>
      <right style="medium">
        <color rgb="FF012711"/>
      </right>
      <top style="thin">
        <color rgb="FF012711"/>
      </top>
      <bottom style="double">
        <color rgb="FF01271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0">
    <xf numFmtId="0" fontId="0" fillId="0" borderId="0" xfId="0"/>
    <xf numFmtId="0" fontId="3" fillId="0" borderId="0" xfId="3"/>
    <xf numFmtId="164" fontId="2" fillId="0" borderId="0" xfId="1" applyNumberFormat="1" applyFont="1"/>
    <xf numFmtId="42" fontId="0" fillId="0" borderId="0" xfId="2" applyFont="1"/>
    <xf numFmtId="0" fontId="0" fillId="0" borderId="0" xfId="0" applyAlignment="1">
      <alignment horizontal="center" wrapText="1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5" fillId="2" borderId="3" xfId="0" applyFont="1" applyFill="1" applyBorder="1"/>
    <xf numFmtId="0" fontId="5" fillId="2" borderId="4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0" fontId="6" fillId="4" borderId="0" xfId="0" applyFont="1" applyFill="1"/>
    <xf numFmtId="0" fontId="6" fillId="4" borderId="0" xfId="0" applyFont="1" applyFill="1" applyAlignment="1">
      <alignment horizontal="center"/>
    </xf>
    <xf numFmtId="0" fontId="5" fillId="4" borderId="0" xfId="0" applyFont="1" applyFill="1" applyAlignment="1">
      <alignment horizontal="right"/>
    </xf>
    <xf numFmtId="14" fontId="6" fillId="4" borderId="0" xfId="0" applyNumberFormat="1" applyFont="1" applyFill="1"/>
    <xf numFmtId="0" fontId="5" fillId="4" borderId="0" xfId="0" applyFont="1" applyFill="1" applyAlignment="1">
      <alignment horizontal="center"/>
    </xf>
    <xf numFmtId="14" fontId="6" fillId="4" borderId="0" xfId="0" applyNumberFormat="1" applyFon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" fontId="5" fillId="4" borderId="0" xfId="0" applyNumberFormat="1" applyFont="1" applyFill="1" applyAlignment="1">
      <alignment horizontal="center"/>
    </xf>
    <xf numFmtId="1" fontId="6" fillId="4" borderId="0" xfId="0" applyNumberFormat="1" applyFont="1" applyFill="1" applyAlignment="1">
      <alignment horizontal="center"/>
    </xf>
    <xf numFmtId="1" fontId="6" fillId="4" borderId="0" xfId="0" applyNumberFormat="1" applyFont="1" applyFill="1"/>
    <xf numFmtId="0" fontId="6" fillId="4" borderId="5" xfId="0" applyFont="1" applyFill="1" applyBorder="1"/>
    <xf numFmtId="0" fontId="8" fillId="4" borderId="0" xfId="0" applyFont="1" applyFill="1"/>
    <xf numFmtId="0" fontId="9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 wrapText="1"/>
    </xf>
    <xf numFmtId="14" fontId="7" fillId="4" borderId="0" xfId="0" applyNumberFormat="1" applyFont="1" applyFill="1" applyAlignment="1">
      <alignment horizontal="center"/>
    </xf>
    <xf numFmtId="0" fontId="6" fillId="4" borderId="0" xfId="0" applyFont="1" applyFill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14" fontId="7" fillId="4" borderId="9" xfId="0" applyNumberFormat="1" applyFont="1" applyFill="1" applyBorder="1" applyAlignment="1">
      <alignment horizontal="center"/>
    </xf>
    <xf numFmtId="14" fontId="7" fillId="4" borderId="10" xfId="0" applyNumberFormat="1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4" borderId="10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14" fontId="6" fillId="4" borderId="9" xfId="0" applyNumberFormat="1" applyFont="1" applyFill="1" applyBorder="1" applyAlignment="1">
      <alignment horizontal="center"/>
    </xf>
    <xf numFmtId="14" fontId="6" fillId="4" borderId="10" xfId="0" applyNumberFormat="1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4" borderId="12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4" borderId="13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4" borderId="11" xfId="0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9" fillId="4" borderId="14" xfId="0" applyFont="1" applyFill="1" applyBorder="1" applyAlignment="1">
      <alignment horizontal="center"/>
    </xf>
    <xf numFmtId="0" fontId="12" fillId="4" borderId="15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17" xfId="0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 wrapText="1"/>
    </xf>
    <xf numFmtId="0" fontId="5" fillId="4" borderId="16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6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6" fillId="4" borderId="0" xfId="0" applyFont="1" applyFill="1" applyAlignment="1">
      <alignment horizontal="right"/>
    </xf>
    <xf numFmtId="0" fontId="14" fillId="4" borderId="0" xfId="0" applyFont="1" applyFill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center"/>
    </xf>
    <xf numFmtId="14" fontId="16" fillId="0" borderId="0" xfId="0" applyNumberFormat="1" applyFont="1"/>
    <xf numFmtId="0" fontId="16" fillId="0" borderId="0" xfId="0" applyFont="1"/>
    <xf numFmtId="14" fontId="6" fillId="5" borderId="0" xfId="0" applyNumberFormat="1" applyFont="1" applyFill="1"/>
    <xf numFmtId="0" fontId="6" fillId="5" borderId="0" xfId="0" applyFont="1" applyFill="1"/>
    <xf numFmtId="14" fontId="0" fillId="5" borderId="0" xfId="0" applyNumberFormat="1" applyFill="1"/>
    <xf numFmtId="0" fontId="15" fillId="4" borderId="0" xfId="0" applyFont="1" applyFill="1" applyAlignment="1">
      <alignment horizontal="center"/>
    </xf>
    <xf numFmtId="0" fontId="14" fillId="4" borderId="0" xfId="0" applyFont="1" applyFill="1" applyAlignment="1">
      <alignment horizontal="left" vertical="top" wrapText="1"/>
    </xf>
    <xf numFmtId="0" fontId="14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center" vertical="top"/>
    </xf>
    <xf numFmtId="0" fontId="11" fillId="4" borderId="18" xfId="0" applyFont="1" applyFill="1" applyBorder="1" applyAlignment="1">
      <alignment horizontal="center" vertical="center"/>
    </xf>
    <xf numFmtId="0" fontId="11" fillId="4" borderId="19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/>
    </xf>
    <xf numFmtId="0" fontId="11" fillId="4" borderId="22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/>
    </xf>
    <xf numFmtId="0" fontId="12" fillId="4" borderId="0" xfId="0" applyFont="1" applyFill="1" applyAlignment="1">
      <alignment horizontal="right"/>
    </xf>
    <xf numFmtId="14" fontId="6" fillId="4" borderId="0" xfId="0" applyNumberFormat="1" applyFont="1" applyFill="1" applyAlignment="1">
      <alignment horizontal="left"/>
    </xf>
    <xf numFmtId="14" fontId="6" fillId="4" borderId="0" xfId="0" applyNumberFormat="1" applyFont="1" applyFill="1" applyAlignment="1">
      <alignment horizontal="center"/>
    </xf>
    <xf numFmtId="0" fontId="13" fillId="4" borderId="6" xfId="0" applyFont="1" applyFill="1" applyBorder="1" applyAlignment="1">
      <alignment horizontal="center"/>
    </xf>
    <xf numFmtId="0" fontId="13" fillId="4" borderId="7" xfId="0" applyFont="1" applyFill="1" applyBorder="1" applyAlignment="1">
      <alignment horizontal="center"/>
    </xf>
    <xf numFmtId="14" fontId="6" fillId="4" borderId="9" xfId="0" applyNumberFormat="1" applyFont="1" applyFill="1" applyBorder="1" applyAlignment="1">
      <alignment horizontal="center"/>
    </xf>
    <xf numFmtId="1" fontId="8" fillId="4" borderId="7" xfId="0" applyNumberFormat="1" applyFont="1" applyFill="1" applyBorder="1" applyAlignment="1">
      <alignment horizontal="center"/>
    </xf>
    <xf numFmtId="0" fontId="13" fillId="4" borderId="8" xfId="0" applyFont="1" applyFill="1" applyBorder="1" applyAlignment="1">
      <alignment horizontal="center"/>
    </xf>
    <xf numFmtId="14" fontId="6" fillId="4" borderId="10" xfId="0" applyNumberFormat="1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 wrapText="1"/>
    </xf>
    <xf numFmtId="0" fontId="17" fillId="4" borderId="0" xfId="0" applyFont="1" applyFill="1" applyAlignment="1">
      <alignment horizontal="center"/>
    </xf>
  </cellXfs>
  <cellStyles count="4">
    <cellStyle name="Hipervínculo" xfId="3" builtinId="8"/>
    <cellStyle name="Millares [0]" xfId="1" builtinId="6"/>
    <cellStyle name="Moneda [0]" xfId="2" builtinId="7"/>
    <cellStyle name="Normal" xfId="0" builtinId="0"/>
  </cellStyles>
  <dxfs count="31">
    <dxf>
      <font>
        <color theme="1"/>
      </font>
      <fill>
        <patternFill>
          <bgColor theme="1"/>
        </patternFill>
      </fill>
    </dxf>
    <dxf>
      <fill>
        <patternFill>
          <bgColor rgb="FF05913D"/>
        </patternFill>
      </fill>
    </dxf>
    <dxf>
      <fill>
        <patternFill>
          <bgColor rgb="FF05913D"/>
        </patternFill>
      </fill>
    </dxf>
    <dxf>
      <font>
        <color rgb="FF023516"/>
      </font>
      <fill>
        <patternFill>
          <bgColor rgb="FF05913D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23516"/>
        </patternFill>
      </fill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2" defaultPivotStyle="PivotStyleLight16"/>
  <colors>
    <mruColors>
      <color rgb="FF00CC00"/>
      <color rgb="FF023516"/>
      <color rgb="FF05913D"/>
      <color rgb="FF012711"/>
      <color rgb="FF075270"/>
      <color rgb="FF970D0D"/>
      <color rgb="FF06AB48"/>
      <color rgb="FF000D06"/>
      <color rgb="FF010E13"/>
      <color rgb="FF021B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lculo_dias_horas!A1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ntrol_asistencia!A1"/><Relationship Id="rId3" Type="http://schemas.openxmlformats.org/officeDocument/2006/relationships/hyperlink" Target="#Info_Indicadores!A1"/><Relationship Id="rId7" Type="http://schemas.openxmlformats.org/officeDocument/2006/relationships/image" Target="../media/image4.png"/><Relationship Id="rId2" Type="http://schemas.microsoft.com/office/2007/relationships/hdphoto" Target="../media/hdphoto2.wdp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hyperlink" Target="#Trabajadores!A1"/><Relationship Id="rId4" Type="http://schemas.openxmlformats.org/officeDocument/2006/relationships/hyperlink" Target="#Liquidaci&#243;n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Trabajadores!A1"/><Relationship Id="rId2" Type="http://schemas.microsoft.com/office/2007/relationships/hdphoto" Target="../media/hdphoto3.wdp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Liquidaci&#243;n!A1"/><Relationship Id="rId2" Type="http://schemas.microsoft.com/office/2007/relationships/hdphoto" Target="../media/hdphoto4.wdp"/><Relationship Id="rId1" Type="http://schemas.openxmlformats.org/officeDocument/2006/relationships/image" Target="../media/image6.png"/><Relationship Id="rId4" Type="http://schemas.openxmlformats.org/officeDocument/2006/relationships/hyperlink" Target="#Calculo_dias_hor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alculo_dias_horas!A1"/><Relationship Id="rId2" Type="http://schemas.microsoft.com/office/2007/relationships/hdphoto" Target="../media/hdphoto5.wdp"/><Relationship Id="rId1" Type="http://schemas.openxmlformats.org/officeDocument/2006/relationships/image" Target="../media/image7.png"/><Relationship Id="rId4" Type="http://schemas.openxmlformats.org/officeDocument/2006/relationships/hyperlink" Target="#Trabajador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679450</xdr:colOff>
      <xdr:row>1</xdr:row>
      <xdr:rowOff>139830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5D5B1B8F-2DC9-4430-9AB7-8BD7D5E45D2D}"/>
            </a:ext>
          </a:extLst>
        </xdr:cNvPr>
        <xdr:cNvGrpSpPr/>
      </xdr:nvGrpSpPr>
      <xdr:grpSpPr>
        <a:xfrm>
          <a:off x="0" y="0"/>
          <a:ext cx="11950700" cy="323980"/>
          <a:chOff x="0" y="0"/>
          <a:chExt cx="10600612" cy="323980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392EA3EF-2E51-AAF8-EA15-66CBB7898FC5}"/>
              </a:ext>
            </a:extLst>
          </xdr:cNvPr>
          <xdr:cNvSpPr/>
        </xdr:nvSpPr>
        <xdr:spPr>
          <a:xfrm>
            <a:off x="0" y="0"/>
            <a:ext cx="10600612" cy="323980"/>
          </a:xfrm>
          <a:prstGeom prst="rect">
            <a:avLst/>
          </a:prstGeom>
          <a:gradFill flip="none" rotWithShape="1">
            <a:gsLst>
              <a:gs pos="0">
                <a:srgbClr val="06AB48">
                  <a:shade val="30000"/>
                  <a:satMod val="115000"/>
                </a:srgbClr>
              </a:gs>
              <a:gs pos="50000">
                <a:srgbClr val="06AB48">
                  <a:shade val="67500"/>
                  <a:satMod val="115000"/>
                </a:srgbClr>
              </a:gs>
              <a:gs pos="100000">
                <a:srgbClr val="06AB48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pic>
        <xdr:nvPicPr>
          <xdr:cNvPr id="4" name="Imagen 3">
            <a:extLst>
              <a:ext uri="{FF2B5EF4-FFF2-40B4-BE49-F238E27FC236}">
                <a16:creationId xmlns:a16="http://schemas.microsoft.com/office/drawing/2014/main" id="{FDF1D9F7-5B26-0AC1-A792-90CA9FCEAE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8301" b="91113" l="9473" r="90137">
                        <a14:foregroundMark x1="66895" y1="47266" x2="66895" y2="47266"/>
                        <a14:foregroundMark x1="76563" y1="46484" x2="76563" y2="46484"/>
                        <a14:foregroundMark x1="90137" y1="52441" x2="90137" y2="52441"/>
                        <a14:foregroundMark x1="49316" y1="8398" x2="49316" y2="8398"/>
                        <a14:foregroundMark x1="9570" y1="49707" x2="9570" y2="49707"/>
                        <a14:foregroundMark x1="51563" y1="91113" x2="51563" y2="9111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114" y="6481"/>
            <a:ext cx="453570" cy="303912"/>
          </a:xfrm>
          <a:prstGeom prst="rect">
            <a:avLst/>
          </a:prstGeom>
          <a:ln>
            <a:noFill/>
          </a:ln>
          <a:effectLst>
            <a:outerShdw blurRad="190500" algn="tl" rotWithShape="0">
              <a:srgbClr val="000000">
                <a:alpha val="70000"/>
              </a:srgbClr>
            </a:outerShdw>
          </a:effectLst>
        </xdr:spPr>
      </xdr:pic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BC0CDB03-28C3-50A9-1E7B-9FBCF69A894A}"/>
              </a:ext>
            </a:extLst>
          </xdr:cNvPr>
          <xdr:cNvSpPr txBox="1"/>
        </xdr:nvSpPr>
        <xdr:spPr>
          <a:xfrm>
            <a:off x="524849" y="38877"/>
            <a:ext cx="505408" cy="213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Inicio</a:t>
            </a:r>
          </a:p>
          <a:p>
            <a:pPr algn="ctr"/>
            <a:r>
              <a:rPr lang="es-CL" sz="1100"/>
              <a:t>c</a:t>
            </a:r>
          </a:p>
        </xdr:txBody>
      </xdr:sp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8300A598-BE4E-8EA1-5D39-278A93965E94}"/>
              </a:ext>
            </a:extLst>
          </xdr:cNvPr>
          <xdr:cNvSpPr txBox="1"/>
        </xdr:nvSpPr>
        <xdr:spPr>
          <a:xfrm>
            <a:off x="2507601" y="58317"/>
            <a:ext cx="933061" cy="2008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Parametros</a:t>
            </a:r>
          </a:p>
          <a:p>
            <a:pPr algn="ctr"/>
            <a:endParaRPr lang="es-CL" sz="1100" b="1">
              <a:solidFill>
                <a:schemeClr val="bg1"/>
              </a:solidFill>
            </a:endParaRPr>
          </a:p>
          <a:p>
            <a:pPr algn="ctr"/>
            <a:r>
              <a:rPr lang="es-CL" sz="1100"/>
              <a:t>c</a:t>
            </a:r>
          </a:p>
        </xdr:txBody>
      </xdr: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DB5A22BF-A677-8B86-9BFC-C523AD54185D}"/>
              </a:ext>
            </a:extLst>
          </xdr:cNvPr>
          <xdr:cNvGrpSpPr/>
        </xdr:nvGrpSpPr>
        <xdr:grpSpPr>
          <a:xfrm>
            <a:off x="5080001" y="48597"/>
            <a:ext cx="5365101" cy="220306"/>
            <a:chOff x="5080001" y="48597"/>
            <a:chExt cx="5365101" cy="220306"/>
          </a:xfrm>
        </xdr:grpSpPr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F752808F-5870-3799-FD09-B845D4C54A1D}"/>
                </a:ext>
              </a:extLst>
            </xdr:cNvPr>
            <xdr:cNvSpPr txBox="1"/>
          </xdr:nvSpPr>
          <xdr:spPr>
            <a:xfrm>
              <a:off x="9512041" y="58317"/>
              <a:ext cx="933061" cy="2008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Contabilidad</a:t>
              </a:r>
              <a:endParaRPr lang="es-CL" sz="1100" b="0">
                <a:solidFill>
                  <a:schemeClr val="dk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DDD79641-5663-2138-BFBD-30D9CBC6DD6D}"/>
                </a:ext>
              </a:extLst>
            </xdr:cNvPr>
            <xdr:cNvSpPr txBox="1"/>
          </xdr:nvSpPr>
          <xdr:spPr>
            <a:xfrm>
              <a:off x="8051021" y="60001"/>
              <a:ext cx="1182397" cy="1974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Liquidaciones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11" name="CuadroTexto 1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F4F5E02-BB82-7472-0087-9797AE4E8881}"/>
                </a:ext>
              </a:extLst>
            </xdr:cNvPr>
            <xdr:cNvSpPr txBox="1"/>
          </xdr:nvSpPr>
          <xdr:spPr>
            <a:xfrm>
              <a:off x="6563826" y="51837"/>
              <a:ext cx="1244082" cy="2138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Días</a:t>
              </a:r>
              <a:r>
                <a:rPr lang="es-CL" sz="1100" b="1" baseline="0">
                  <a:solidFill>
                    <a:schemeClr val="bg1"/>
                  </a:solidFill>
                </a:rPr>
                <a:t> Trabajados</a:t>
              </a:r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6015B50F-4B62-BCF9-89C2-66E5AF84F0C3}"/>
                </a:ext>
              </a:extLst>
            </xdr:cNvPr>
            <xdr:cNvSpPr txBox="1"/>
          </xdr:nvSpPr>
          <xdr:spPr>
            <a:xfrm>
              <a:off x="5080001" y="48597"/>
              <a:ext cx="1127448" cy="22030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Trabajadores</a:t>
              </a:r>
            </a:p>
            <a:p>
              <a:pPr algn="ctr"/>
              <a:r>
                <a:rPr lang="es-CL" sz="1100"/>
                <a:t>c</a:t>
              </a:r>
            </a:p>
          </xdr:txBody>
        </xdr:sp>
      </xdr:grpSp>
      <xdr:sp macro="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28FF4B53-EA61-0B71-8659-26AB067409F6}"/>
              </a:ext>
            </a:extLst>
          </xdr:cNvPr>
          <xdr:cNvSpPr/>
        </xdr:nvSpPr>
        <xdr:spPr>
          <a:xfrm flipV="1">
            <a:off x="2627978" y="241299"/>
            <a:ext cx="702215" cy="50047"/>
          </a:xfrm>
          <a:prstGeom prst="roundRect">
            <a:avLst/>
          </a:prstGeom>
          <a:solidFill>
            <a:srgbClr val="00CC00"/>
          </a:solidFill>
          <a:ln w="3175">
            <a:solidFill>
              <a:srgbClr val="021B25"/>
            </a:solidFill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s-CL" sz="1100" b="0" cap="none" spc="0">
              <a:ln>
                <a:noFill/>
              </a:ln>
              <a:solidFill>
                <a:srgbClr val="06AB48"/>
              </a:solidFill>
              <a:effectLst/>
              <a:latin typeface="Aptos ExtraBold" panose="020F050202020403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0</xdr:colOff>
      <xdr:row>1</xdr:row>
      <xdr:rowOff>142551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05CCBDAB-CEE4-D8B5-F7D1-41C8387C4EAE}"/>
            </a:ext>
          </a:extLst>
        </xdr:cNvPr>
        <xdr:cNvGrpSpPr/>
      </xdr:nvGrpSpPr>
      <xdr:grpSpPr>
        <a:xfrm>
          <a:off x="0" y="0"/>
          <a:ext cx="11741150" cy="326701"/>
          <a:chOff x="0" y="0"/>
          <a:chExt cx="10600612" cy="323980"/>
        </a:xfrm>
      </xdr:grpSpPr>
      <xdr:sp macro="" textlink="">
        <xdr:nvSpPr>
          <xdr:cNvPr id="20" name="Rectángulo 19">
            <a:extLst>
              <a:ext uri="{FF2B5EF4-FFF2-40B4-BE49-F238E27FC236}">
                <a16:creationId xmlns:a16="http://schemas.microsoft.com/office/drawing/2014/main" id="{713FA05F-C292-1AF4-2B11-BA2863D93D03}"/>
              </a:ext>
            </a:extLst>
          </xdr:cNvPr>
          <xdr:cNvSpPr/>
        </xdr:nvSpPr>
        <xdr:spPr>
          <a:xfrm>
            <a:off x="0" y="0"/>
            <a:ext cx="10600612" cy="323980"/>
          </a:xfrm>
          <a:prstGeom prst="rect">
            <a:avLst/>
          </a:prstGeom>
          <a:gradFill flip="none" rotWithShape="1">
            <a:gsLst>
              <a:gs pos="0">
                <a:srgbClr val="06AB48">
                  <a:shade val="30000"/>
                  <a:satMod val="115000"/>
                </a:srgbClr>
              </a:gs>
              <a:gs pos="50000">
                <a:srgbClr val="06AB48">
                  <a:shade val="67500"/>
                  <a:satMod val="115000"/>
                </a:srgbClr>
              </a:gs>
              <a:gs pos="100000">
                <a:srgbClr val="06AB48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4779BB5A-19BB-01D7-CEF5-A61F459CEE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8301" b="91113" l="9473" r="90137">
                        <a14:foregroundMark x1="66895" y1="47266" x2="66895" y2="47266"/>
                        <a14:foregroundMark x1="76563" y1="46484" x2="76563" y2="46484"/>
                        <a14:foregroundMark x1="90137" y1="52441" x2="90137" y2="52441"/>
                        <a14:foregroundMark x1="49316" y1="8398" x2="49316" y2="8398"/>
                        <a14:foregroundMark x1="9570" y1="49707" x2="9570" y2="49707"/>
                        <a14:foregroundMark x1="51563" y1="91113" x2="51563" y2="9111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114" y="6481"/>
            <a:ext cx="453570" cy="303912"/>
          </a:xfrm>
          <a:prstGeom prst="rect">
            <a:avLst/>
          </a:prstGeom>
          <a:ln>
            <a:noFill/>
          </a:ln>
          <a:effectLst>
            <a:outerShdw blurRad="190500" algn="tl" rotWithShape="0">
              <a:srgbClr val="000000">
                <a:alpha val="70000"/>
              </a:srgbClr>
            </a:outerShdw>
          </a:effectLst>
        </xdr:spPr>
      </xdr:pic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9ADA5D2F-EDD0-6684-C6E3-EF3148C46D89}"/>
              </a:ext>
            </a:extLst>
          </xdr:cNvPr>
          <xdr:cNvSpPr txBox="1"/>
        </xdr:nvSpPr>
        <xdr:spPr>
          <a:xfrm>
            <a:off x="524849" y="38877"/>
            <a:ext cx="505408" cy="213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Inicio</a:t>
            </a:r>
          </a:p>
          <a:p>
            <a:pPr algn="ctr"/>
            <a:r>
              <a:rPr lang="es-CL" sz="1100"/>
              <a:t>c</a:t>
            </a:r>
          </a:p>
        </xdr:txBody>
      </xdr:sp>
      <xdr:sp macro="" textlink="">
        <xdr:nvSpPr>
          <xdr:cNvPr id="26" name="CuadroTexto 2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97E7941-90F0-4D6E-87AE-1095B87F977C}"/>
              </a:ext>
            </a:extLst>
          </xdr:cNvPr>
          <xdr:cNvSpPr txBox="1"/>
        </xdr:nvSpPr>
        <xdr:spPr>
          <a:xfrm>
            <a:off x="2507601" y="58317"/>
            <a:ext cx="933061" cy="2008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Parametros</a:t>
            </a:r>
          </a:p>
          <a:p>
            <a:pPr algn="ctr"/>
            <a:endParaRPr lang="es-CL" sz="1100" b="1">
              <a:solidFill>
                <a:schemeClr val="bg1"/>
              </a:solidFill>
            </a:endParaRPr>
          </a:p>
          <a:p>
            <a:pPr algn="ctr"/>
            <a:r>
              <a:rPr lang="es-CL" sz="1100"/>
              <a:t>c</a:t>
            </a:r>
          </a:p>
        </xdr:txBody>
      </xdr:sp>
      <xdr:grpSp>
        <xdr:nvGrpSpPr>
          <xdr:cNvPr id="31" name="Grupo 30">
            <a:extLst>
              <a:ext uri="{FF2B5EF4-FFF2-40B4-BE49-F238E27FC236}">
                <a16:creationId xmlns:a16="http://schemas.microsoft.com/office/drawing/2014/main" id="{A5B14978-00A3-5C9A-3227-35545FD7CB88}"/>
              </a:ext>
            </a:extLst>
          </xdr:cNvPr>
          <xdr:cNvGrpSpPr/>
        </xdr:nvGrpSpPr>
        <xdr:grpSpPr>
          <a:xfrm>
            <a:off x="5080001" y="48597"/>
            <a:ext cx="5365101" cy="220306"/>
            <a:chOff x="5080001" y="48597"/>
            <a:chExt cx="5365101" cy="220306"/>
          </a:xfrm>
        </xdr:grpSpPr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1B597448-9896-476E-979E-1C99F6456C03}"/>
                </a:ext>
              </a:extLst>
            </xdr:cNvPr>
            <xdr:cNvSpPr txBox="1"/>
          </xdr:nvSpPr>
          <xdr:spPr>
            <a:xfrm>
              <a:off x="9512041" y="58317"/>
              <a:ext cx="933061" cy="2008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Contabilidad</a:t>
              </a:r>
              <a:endParaRPr lang="es-CL" sz="1100" b="0">
                <a:solidFill>
                  <a:schemeClr val="dk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8" name="CuadroTexto 2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5E1C97F5-B732-4EDB-8590-95DD0B7FE9E5}"/>
                </a:ext>
              </a:extLst>
            </xdr:cNvPr>
            <xdr:cNvSpPr txBox="1"/>
          </xdr:nvSpPr>
          <xdr:spPr>
            <a:xfrm>
              <a:off x="8051021" y="60001"/>
              <a:ext cx="1182397" cy="1974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Liquidaciones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C94EA1D4-DAC4-4E1B-ADCD-2D62853A1E11}"/>
                </a:ext>
              </a:extLst>
            </xdr:cNvPr>
            <xdr:cNvSpPr txBox="1"/>
          </xdr:nvSpPr>
          <xdr:spPr>
            <a:xfrm>
              <a:off x="6563826" y="51837"/>
              <a:ext cx="1244082" cy="2138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Días</a:t>
              </a:r>
              <a:r>
                <a:rPr lang="es-CL" sz="1100" b="1" baseline="0">
                  <a:solidFill>
                    <a:schemeClr val="bg1"/>
                  </a:solidFill>
                </a:rPr>
                <a:t> Trabajados</a:t>
              </a:r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30" name="CuadroTexto 2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AC567350-D2F2-48FB-AD80-9127530282F6}"/>
                </a:ext>
              </a:extLst>
            </xdr:cNvPr>
            <xdr:cNvSpPr txBox="1"/>
          </xdr:nvSpPr>
          <xdr:spPr>
            <a:xfrm>
              <a:off x="5080001" y="48597"/>
              <a:ext cx="1127448" cy="22030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Trabajadores</a:t>
              </a:r>
            </a:p>
            <a:p>
              <a:pPr algn="ctr"/>
              <a:r>
                <a:rPr lang="es-CL" sz="1100"/>
                <a:t>c</a:t>
              </a:r>
            </a:p>
          </xdr:txBody>
        </xdr:sp>
      </xdr:grpSp>
      <xdr:sp macro="" textlink="">
        <xdr:nvSpPr>
          <xdr:cNvPr id="32" name="Rectángulo: esquinas redondeadas 31">
            <a:extLst>
              <a:ext uri="{FF2B5EF4-FFF2-40B4-BE49-F238E27FC236}">
                <a16:creationId xmlns:a16="http://schemas.microsoft.com/office/drawing/2014/main" id="{DCF3D22C-6644-3A52-7618-40FC73490FF8}"/>
              </a:ext>
            </a:extLst>
          </xdr:cNvPr>
          <xdr:cNvSpPr/>
        </xdr:nvSpPr>
        <xdr:spPr>
          <a:xfrm flipV="1">
            <a:off x="6758216" y="251978"/>
            <a:ext cx="881223" cy="45719"/>
          </a:xfrm>
          <a:prstGeom prst="roundRect">
            <a:avLst/>
          </a:prstGeom>
          <a:solidFill>
            <a:srgbClr val="00CC00"/>
          </a:solidFill>
          <a:ln w="3175">
            <a:solidFill>
              <a:srgbClr val="021B25"/>
            </a:solidFill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s-CL" sz="1100" b="0" cap="none" spc="0">
              <a:ln>
                <a:noFill/>
              </a:ln>
              <a:solidFill>
                <a:srgbClr val="06AB48"/>
              </a:solidFill>
              <a:effectLst/>
              <a:latin typeface="Aptos ExtraBold" panose="020F0502020204030204" pitchFamily="34" charset="0"/>
            </a:endParaRPr>
          </a:p>
        </xdr:txBody>
      </xdr:sp>
    </xdr:grpSp>
    <xdr:clientData/>
  </xdr:twoCellAnchor>
  <xdr:twoCellAnchor>
    <xdr:from>
      <xdr:col>4</xdr:col>
      <xdr:colOff>339724</xdr:colOff>
      <xdr:row>64</xdr:row>
      <xdr:rowOff>42863</xdr:rowOff>
    </xdr:from>
    <xdr:to>
      <xdr:col>9</xdr:col>
      <xdr:colOff>279399</xdr:colOff>
      <xdr:row>67</xdr:row>
      <xdr:rowOff>77787</xdr:rowOff>
    </xdr:to>
    <xdr:grpSp>
      <xdr:nvGrpSpPr>
        <xdr:cNvPr id="44" name="Grupo 43">
          <a:extLst>
            <a:ext uri="{FF2B5EF4-FFF2-40B4-BE49-F238E27FC236}">
              <a16:creationId xmlns:a16="http://schemas.microsoft.com/office/drawing/2014/main" id="{854E9DBA-4661-B262-D84B-C527185C02A0}"/>
            </a:ext>
          </a:extLst>
        </xdr:cNvPr>
        <xdr:cNvGrpSpPr/>
      </xdr:nvGrpSpPr>
      <xdr:grpSpPr>
        <a:xfrm>
          <a:off x="3476624" y="6297613"/>
          <a:ext cx="1844675" cy="587374"/>
          <a:chOff x="3476624" y="6296026"/>
          <a:chExt cx="1844675" cy="587374"/>
        </a:xfrm>
      </xdr:grpSpPr>
      <xdr:sp macro="" textlink="">
        <xdr:nvSpPr>
          <xdr:cNvPr id="39" name="Cilindro 38">
            <a:extLst>
              <a:ext uri="{FF2B5EF4-FFF2-40B4-BE49-F238E27FC236}">
                <a16:creationId xmlns:a16="http://schemas.microsoft.com/office/drawing/2014/main" id="{3C99D837-1701-2FCA-77EA-EA73928C92F0}"/>
              </a:ext>
            </a:extLst>
          </xdr:cNvPr>
          <xdr:cNvSpPr/>
        </xdr:nvSpPr>
        <xdr:spPr>
          <a:xfrm rot="16200000">
            <a:off x="4105275" y="5667375"/>
            <a:ext cx="587374" cy="1844675"/>
          </a:xfrm>
          <a:prstGeom prst="can">
            <a:avLst/>
          </a:prstGeom>
          <a:gradFill flip="none" rotWithShape="1">
            <a:gsLst>
              <a:gs pos="0">
                <a:srgbClr val="970D0D">
                  <a:shade val="30000"/>
                  <a:satMod val="115000"/>
                </a:srgbClr>
              </a:gs>
              <a:gs pos="50000">
                <a:srgbClr val="970D0D">
                  <a:shade val="67500"/>
                  <a:satMod val="115000"/>
                </a:srgbClr>
              </a:gs>
              <a:gs pos="100000">
                <a:srgbClr val="970D0D">
                  <a:shade val="100000"/>
                  <a:satMod val="115000"/>
                </a:srgbClr>
              </a:gs>
            </a:gsLst>
            <a:lin ang="5400000" scaled="1"/>
            <a:tileRect/>
          </a:gradFill>
          <a:ln w="3175">
            <a:solidFill>
              <a:srgbClr val="021B25"/>
            </a:solidFill>
          </a:ln>
          <a:effectLst>
            <a:innerShdw blurRad="63500" dist="50800" dir="5400000">
              <a:prstClr val="black">
                <a:alpha val="50000"/>
              </a:prstClr>
            </a:innerShdw>
          </a:effectLst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ot="0" spcFirstLastPara="0" vertOverflow="clip" horzOverflow="clip" vert="vert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l"/>
            <a:r>
              <a:rPr lang="es-CL" sz="1100" b="0" cap="none" spc="0">
                <a:ln>
                  <a:noFill/>
                </a:ln>
                <a:solidFill>
                  <a:schemeClr val="bg1"/>
                </a:solidFill>
                <a:effectLst/>
                <a:latin typeface="Aptos ExtraBold" panose="020F0502020204030204" pitchFamily="34" charset="0"/>
              </a:rPr>
              <a:t>Exportar</a:t>
            </a:r>
            <a:r>
              <a:rPr lang="es-CL" sz="1100" b="0" cap="none" spc="0" baseline="0">
                <a:ln>
                  <a:noFill/>
                </a:ln>
                <a:solidFill>
                  <a:schemeClr val="bg1"/>
                </a:solidFill>
                <a:effectLst/>
                <a:latin typeface="Aptos ExtraBold" panose="020F0502020204030204" pitchFamily="34" charset="0"/>
              </a:rPr>
              <a:t> </a:t>
            </a:r>
          </a:p>
          <a:p>
            <a:pPr algn="l"/>
            <a:r>
              <a:rPr lang="es-CL" sz="1100" b="0" cap="none" spc="0" baseline="0">
                <a:ln>
                  <a:noFill/>
                </a:ln>
                <a:solidFill>
                  <a:schemeClr val="bg1"/>
                </a:solidFill>
                <a:effectLst/>
                <a:latin typeface="Aptos ExtraBold" panose="020F0502020204030204" pitchFamily="34" charset="0"/>
              </a:rPr>
              <a:t>PDF</a:t>
            </a:r>
            <a:endParaRPr lang="es-CL" sz="1100" b="0" cap="none" spc="0">
              <a:ln>
                <a:noFill/>
              </a:ln>
              <a:solidFill>
                <a:schemeClr val="bg1"/>
              </a:solidFill>
              <a:effectLst/>
              <a:latin typeface="Aptos ExtraBold" panose="020F0502020204030204" pitchFamily="34" charset="0"/>
            </a:endParaRPr>
          </a:p>
        </xdr:txBody>
      </xdr:sp>
      <xdr:pic>
        <xdr:nvPicPr>
          <xdr:cNvPr id="40" name="Imagen 39">
            <a:extLst>
              <a:ext uri="{FF2B5EF4-FFF2-40B4-BE49-F238E27FC236}">
                <a16:creationId xmlns:a16="http://schemas.microsoft.com/office/drawing/2014/main" id="{DEB00DEB-BAE5-9BC3-D8B3-F66DB12D27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4660900" y="6330950"/>
            <a:ext cx="571671" cy="52073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241301</xdr:colOff>
      <xdr:row>64</xdr:row>
      <xdr:rowOff>42863</xdr:rowOff>
    </xdr:from>
    <xdr:to>
      <xdr:col>16</xdr:col>
      <xdr:colOff>85726</xdr:colOff>
      <xdr:row>67</xdr:row>
      <xdr:rowOff>77787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A6DB1416-C1A1-5890-7288-E4F61C1E6CA0}"/>
            </a:ext>
          </a:extLst>
        </xdr:cNvPr>
        <xdr:cNvGrpSpPr/>
      </xdr:nvGrpSpPr>
      <xdr:grpSpPr>
        <a:xfrm>
          <a:off x="5664201" y="6297613"/>
          <a:ext cx="1844675" cy="587374"/>
          <a:chOff x="5664201" y="6299200"/>
          <a:chExt cx="1844675" cy="587374"/>
        </a:xfrm>
      </xdr:grpSpPr>
      <xdr:sp macro="[0]!Dias" textlink="">
        <xdr:nvSpPr>
          <xdr:cNvPr id="41" name="Cilindro 40">
            <a:extLst>
              <a:ext uri="{FF2B5EF4-FFF2-40B4-BE49-F238E27FC236}">
                <a16:creationId xmlns:a16="http://schemas.microsoft.com/office/drawing/2014/main" id="{A03AECF7-407D-4257-BDF3-7F1C14483319}"/>
              </a:ext>
            </a:extLst>
          </xdr:cNvPr>
          <xdr:cNvSpPr/>
        </xdr:nvSpPr>
        <xdr:spPr>
          <a:xfrm rot="16200000">
            <a:off x="6292852" y="5670549"/>
            <a:ext cx="587374" cy="1844675"/>
          </a:xfrm>
          <a:prstGeom prst="can">
            <a:avLst/>
          </a:prstGeom>
          <a:gradFill flip="none" rotWithShape="1">
            <a:gsLst>
              <a:gs pos="0">
                <a:srgbClr val="075270">
                  <a:shade val="30000"/>
                  <a:satMod val="115000"/>
                </a:srgbClr>
              </a:gs>
              <a:gs pos="50000">
                <a:srgbClr val="075270">
                  <a:shade val="67500"/>
                  <a:satMod val="115000"/>
                </a:srgbClr>
              </a:gs>
              <a:gs pos="100000">
                <a:srgbClr val="075270">
                  <a:shade val="100000"/>
                  <a:satMod val="115000"/>
                </a:srgbClr>
              </a:gs>
            </a:gsLst>
            <a:lin ang="5400000" scaled="1"/>
            <a:tileRect/>
          </a:gradFill>
          <a:ln w="3175">
            <a:solidFill>
              <a:srgbClr val="021B25"/>
            </a:solidFill>
          </a:ln>
          <a:effectLst>
            <a:innerShdw blurRad="63500" dist="50800" dir="5400000">
              <a:prstClr val="black">
                <a:alpha val="50000"/>
              </a:prstClr>
            </a:innerShdw>
          </a:effectLst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ot="0" spcFirstLastPara="0" vertOverflow="clip" horzOverflow="clip" vert="vert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l"/>
            <a:r>
              <a:rPr lang="es-CL" sz="1100" b="0" cap="none" spc="0">
                <a:ln>
                  <a:noFill/>
                </a:ln>
                <a:solidFill>
                  <a:schemeClr val="bg1"/>
                </a:solidFill>
                <a:effectLst/>
                <a:latin typeface="Aptos ExtraBold" panose="020F0502020204030204" pitchFamily="34" charset="0"/>
              </a:rPr>
              <a:t>Guardar</a:t>
            </a:r>
            <a:r>
              <a:rPr lang="es-CL" sz="1100" b="0" cap="none" spc="0" baseline="0">
                <a:ln>
                  <a:noFill/>
                </a:ln>
                <a:solidFill>
                  <a:schemeClr val="bg1"/>
                </a:solidFill>
                <a:effectLst/>
                <a:latin typeface="Aptos ExtraBold" panose="020F0502020204030204" pitchFamily="34" charset="0"/>
              </a:rPr>
              <a:t> </a:t>
            </a:r>
          </a:p>
          <a:p>
            <a:pPr algn="l"/>
            <a:r>
              <a:rPr lang="es-CL" sz="1100" b="0" cap="none" spc="0" baseline="0">
                <a:ln>
                  <a:noFill/>
                </a:ln>
                <a:solidFill>
                  <a:schemeClr val="bg1"/>
                </a:solidFill>
                <a:effectLst/>
                <a:latin typeface="Aptos ExtraBold" panose="020F0502020204030204" pitchFamily="34" charset="0"/>
              </a:rPr>
              <a:t>Registro</a:t>
            </a:r>
            <a:endParaRPr lang="es-CL" sz="1100" b="0" cap="none" spc="0">
              <a:ln>
                <a:noFill/>
              </a:ln>
              <a:solidFill>
                <a:schemeClr val="bg1"/>
              </a:solidFill>
              <a:effectLst/>
              <a:latin typeface="Aptos ExtraBold" panose="020F0502020204030204" pitchFamily="34" charset="0"/>
            </a:endParaRPr>
          </a:p>
        </xdr:txBody>
      </xdr:sp>
      <xdr:pic macro="[0]!Dias">
        <xdr:nvPicPr>
          <xdr:cNvPr id="42" name="Imagen 41">
            <a:extLst>
              <a:ext uri="{FF2B5EF4-FFF2-40B4-BE49-F238E27FC236}">
                <a16:creationId xmlns:a16="http://schemas.microsoft.com/office/drawing/2014/main" id="{DC2951A3-4BF5-40AB-47D3-CF3198A2BA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6959601" y="6330444"/>
            <a:ext cx="482600" cy="533940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76227</xdr:colOff>
      <xdr:row>21</xdr:row>
      <xdr:rowOff>141125</xdr:rowOff>
    </xdr:from>
    <xdr:to>
      <xdr:col>21</xdr:col>
      <xdr:colOff>717577</xdr:colOff>
      <xdr:row>28</xdr:row>
      <xdr:rowOff>141125</xdr:rowOff>
    </xdr:to>
    <xdr:sp macro="" textlink="">
      <xdr:nvSpPr>
        <xdr:cNvPr id="45" name="Flecha: curvada hacia la derecha 44">
          <a:extLst>
            <a:ext uri="{FF2B5EF4-FFF2-40B4-BE49-F238E27FC236}">
              <a16:creationId xmlns:a16="http://schemas.microsoft.com/office/drawing/2014/main" id="{B9A30E5B-C5D3-8C33-B96D-0DCA6BECBBCE}"/>
            </a:ext>
          </a:extLst>
        </xdr:cNvPr>
        <xdr:cNvSpPr/>
      </xdr:nvSpPr>
      <xdr:spPr>
        <a:xfrm rot="20989997">
          <a:off x="9867927" y="3443125"/>
          <a:ext cx="641350" cy="920750"/>
        </a:xfrm>
        <a:prstGeom prst="curvedRightArrow">
          <a:avLst>
            <a:gd name="adj1" fmla="val 32992"/>
            <a:gd name="adj2" fmla="val 50998"/>
            <a:gd name="adj3" fmla="val 25000"/>
          </a:avLst>
        </a:prstGeom>
        <a:solidFill>
          <a:srgbClr val="00CC00"/>
        </a:solidFill>
        <a:ln w="3175">
          <a:solidFill>
            <a:srgbClr val="021B25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L" sz="1100" b="0" cap="none" spc="0">
            <a:ln>
              <a:noFill/>
            </a:ln>
            <a:solidFill>
              <a:srgbClr val="06AB48"/>
            </a:solidFill>
            <a:effectLst/>
            <a:latin typeface="Aptos ExtraBold" panose="020F0502020204030204" pitchFamily="34" charset="0"/>
          </a:endParaRPr>
        </a:p>
      </xdr:txBody>
    </xdr:sp>
    <xdr:clientData/>
  </xdr:twoCellAnchor>
  <xdr:twoCellAnchor>
    <xdr:from>
      <xdr:col>21</xdr:col>
      <xdr:colOff>0</xdr:colOff>
      <xdr:row>29</xdr:row>
      <xdr:rowOff>0</xdr:rowOff>
    </xdr:from>
    <xdr:to>
      <xdr:col>21</xdr:col>
      <xdr:colOff>1320801</xdr:colOff>
      <xdr:row>31</xdr:row>
      <xdr:rowOff>184150</xdr:rowOff>
    </xdr:to>
    <xdr:sp macro="" textlink="">
      <xdr:nvSpPr>
        <xdr:cNvPr id="46" name="CuadroTexto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B682E93-08A7-CC96-EE5B-24C4A6347A51}"/>
            </a:ext>
          </a:extLst>
        </xdr:cNvPr>
        <xdr:cNvSpPr txBox="1"/>
      </xdr:nvSpPr>
      <xdr:spPr>
        <a:xfrm>
          <a:off x="9791700" y="4406900"/>
          <a:ext cx="1320801" cy="36830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800" b="1">
              <a:solidFill>
                <a:schemeClr val="bg1"/>
              </a:solidFill>
            </a:rPr>
            <a:t>Regristros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2</xdr:row>
      <xdr:rowOff>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C84F5633-888B-4052-B9E5-480802901084}"/>
            </a:ext>
          </a:extLst>
        </xdr:cNvPr>
        <xdr:cNvGrpSpPr/>
      </xdr:nvGrpSpPr>
      <xdr:grpSpPr>
        <a:xfrm>
          <a:off x="0" y="0"/>
          <a:ext cx="11741150" cy="368300"/>
          <a:chOff x="0" y="0"/>
          <a:chExt cx="10600612" cy="323980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9D87EC93-CE31-8C19-A8C4-C41C40CA7DB3}"/>
              </a:ext>
            </a:extLst>
          </xdr:cNvPr>
          <xdr:cNvSpPr/>
        </xdr:nvSpPr>
        <xdr:spPr>
          <a:xfrm>
            <a:off x="0" y="0"/>
            <a:ext cx="10600612" cy="323980"/>
          </a:xfrm>
          <a:prstGeom prst="rect">
            <a:avLst/>
          </a:prstGeom>
          <a:gradFill flip="none" rotWithShape="1">
            <a:gsLst>
              <a:gs pos="0">
                <a:srgbClr val="06AB48">
                  <a:shade val="30000"/>
                  <a:satMod val="115000"/>
                </a:srgbClr>
              </a:gs>
              <a:gs pos="50000">
                <a:srgbClr val="06AB48">
                  <a:shade val="67500"/>
                  <a:satMod val="115000"/>
                </a:srgbClr>
              </a:gs>
              <a:gs pos="100000">
                <a:srgbClr val="06AB48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pic>
        <xdr:nvPicPr>
          <xdr:cNvPr id="4" name="Imagen 3">
            <a:extLst>
              <a:ext uri="{FF2B5EF4-FFF2-40B4-BE49-F238E27FC236}">
                <a16:creationId xmlns:a16="http://schemas.microsoft.com/office/drawing/2014/main" id="{64212DD2-B191-765A-4213-C259AB638F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8301" b="91113" l="9473" r="90137">
                        <a14:foregroundMark x1="66895" y1="47266" x2="66895" y2="47266"/>
                        <a14:foregroundMark x1="76563" y1="46484" x2="76563" y2="46484"/>
                        <a14:foregroundMark x1="90137" y1="52441" x2="90137" y2="52441"/>
                        <a14:foregroundMark x1="49316" y1="8398" x2="49316" y2="8398"/>
                        <a14:foregroundMark x1="9570" y1="49707" x2="9570" y2="49707"/>
                        <a14:foregroundMark x1="51563" y1="91113" x2="51563" y2="9111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114" y="6481"/>
            <a:ext cx="453570" cy="303912"/>
          </a:xfrm>
          <a:prstGeom prst="rect">
            <a:avLst/>
          </a:prstGeom>
          <a:ln>
            <a:noFill/>
          </a:ln>
          <a:effectLst>
            <a:outerShdw blurRad="190500" algn="tl" rotWithShape="0">
              <a:srgbClr val="000000">
                <a:alpha val="70000"/>
              </a:srgbClr>
            </a:outerShdw>
          </a:effectLst>
        </xdr:spPr>
      </xdr:pic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385C353E-DA87-855B-0392-0F8325D4A2C4}"/>
              </a:ext>
            </a:extLst>
          </xdr:cNvPr>
          <xdr:cNvSpPr txBox="1"/>
        </xdr:nvSpPr>
        <xdr:spPr>
          <a:xfrm>
            <a:off x="524849" y="38877"/>
            <a:ext cx="505408" cy="213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Inicio</a:t>
            </a:r>
          </a:p>
          <a:p>
            <a:pPr algn="ctr"/>
            <a:r>
              <a:rPr lang="es-CL" sz="1100"/>
              <a:t>c</a:t>
            </a:r>
          </a:p>
        </xdr:txBody>
      </xdr:sp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0922B59C-99D7-3761-75A4-0F70CAB21F69}"/>
              </a:ext>
            </a:extLst>
          </xdr:cNvPr>
          <xdr:cNvSpPr txBox="1"/>
        </xdr:nvSpPr>
        <xdr:spPr>
          <a:xfrm>
            <a:off x="2507601" y="58317"/>
            <a:ext cx="933061" cy="2008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Parametros</a:t>
            </a:r>
          </a:p>
          <a:p>
            <a:pPr algn="ctr"/>
            <a:endParaRPr lang="es-CL" sz="1100" b="1">
              <a:solidFill>
                <a:schemeClr val="bg1"/>
              </a:solidFill>
            </a:endParaRPr>
          </a:p>
          <a:p>
            <a:pPr algn="ctr"/>
            <a:r>
              <a:rPr lang="es-CL" sz="1100"/>
              <a:t>c</a:t>
            </a:r>
          </a:p>
        </xdr:txBody>
      </xdr: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C21A99A-FDE0-CFEE-E01E-4E08AE9F65C4}"/>
              </a:ext>
            </a:extLst>
          </xdr:cNvPr>
          <xdr:cNvGrpSpPr/>
        </xdr:nvGrpSpPr>
        <xdr:grpSpPr>
          <a:xfrm>
            <a:off x="5080001" y="48597"/>
            <a:ext cx="5365101" cy="220306"/>
            <a:chOff x="5080001" y="48597"/>
            <a:chExt cx="5365101" cy="220306"/>
          </a:xfrm>
        </xdr:grpSpPr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3E9A873C-8D2D-1040-B52B-E6E79313F219}"/>
                </a:ext>
              </a:extLst>
            </xdr:cNvPr>
            <xdr:cNvSpPr txBox="1"/>
          </xdr:nvSpPr>
          <xdr:spPr>
            <a:xfrm>
              <a:off x="9512041" y="58317"/>
              <a:ext cx="933061" cy="2008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Contabilidad</a:t>
              </a:r>
              <a:endParaRPr lang="es-CL" sz="1100" b="0">
                <a:solidFill>
                  <a:schemeClr val="dk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4B6D58B3-E2EA-E40B-F800-DCA157197B62}"/>
                </a:ext>
              </a:extLst>
            </xdr:cNvPr>
            <xdr:cNvSpPr txBox="1"/>
          </xdr:nvSpPr>
          <xdr:spPr>
            <a:xfrm>
              <a:off x="8051021" y="60001"/>
              <a:ext cx="1182397" cy="1974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Liquidaciones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86B071AC-98BF-7152-C237-FADC3418C74F}"/>
                </a:ext>
              </a:extLst>
            </xdr:cNvPr>
            <xdr:cNvSpPr txBox="1"/>
          </xdr:nvSpPr>
          <xdr:spPr>
            <a:xfrm>
              <a:off x="6563826" y="51837"/>
              <a:ext cx="1244082" cy="2138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Días</a:t>
              </a:r>
              <a:r>
                <a:rPr lang="es-CL" sz="1100" b="1" baseline="0">
                  <a:solidFill>
                    <a:schemeClr val="bg1"/>
                  </a:solidFill>
                </a:rPr>
                <a:t> Trabajados</a:t>
              </a:r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12" name="CuadroTexto 1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3B7C43C3-2FFD-047E-2C6C-743183A47003}"/>
                </a:ext>
              </a:extLst>
            </xdr:cNvPr>
            <xdr:cNvSpPr txBox="1"/>
          </xdr:nvSpPr>
          <xdr:spPr>
            <a:xfrm>
              <a:off x="5080001" y="48597"/>
              <a:ext cx="1127448" cy="22030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Trabajadores</a:t>
              </a:r>
            </a:p>
            <a:p>
              <a:pPr algn="ctr"/>
              <a:r>
                <a:rPr lang="es-CL" sz="1100"/>
                <a:t>c</a:t>
              </a:r>
            </a:p>
          </xdr:txBody>
        </xdr:sp>
      </xdr:grpSp>
      <xdr:sp macro="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1870D658-3FD4-9440-31E4-0FE9558B0437}"/>
              </a:ext>
            </a:extLst>
          </xdr:cNvPr>
          <xdr:cNvSpPr/>
        </xdr:nvSpPr>
        <xdr:spPr>
          <a:xfrm flipV="1">
            <a:off x="6758216" y="251978"/>
            <a:ext cx="881223" cy="45719"/>
          </a:xfrm>
          <a:prstGeom prst="roundRect">
            <a:avLst/>
          </a:prstGeom>
          <a:solidFill>
            <a:srgbClr val="00CC00"/>
          </a:solidFill>
          <a:ln w="3175">
            <a:solidFill>
              <a:srgbClr val="021B25"/>
            </a:solidFill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s-CL" sz="1100" b="0" cap="none" spc="0">
              <a:ln>
                <a:noFill/>
              </a:ln>
              <a:solidFill>
                <a:srgbClr val="06AB48"/>
              </a:solidFill>
              <a:effectLst/>
              <a:latin typeface="Aptos ExtraBold" panose="020F050202020403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742950</xdr:colOff>
      <xdr:row>1</xdr:row>
      <xdr:rowOff>139830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F60195A3-A100-4AF3-BA51-872DF9BFE6D7}"/>
            </a:ext>
          </a:extLst>
        </xdr:cNvPr>
        <xdr:cNvGrpSpPr/>
      </xdr:nvGrpSpPr>
      <xdr:grpSpPr>
        <a:xfrm>
          <a:off x="0" y="0"/>
          <a:ext cx="11652250" cy="323980"/>
          <a:chOff x="0" y="0"/>
          <a:chExt cx="10600612" cy="323980"/>
        </a:xfrm>
      </xdr:grpSpPr>
      <xdr:sp macro="" textlink="">
        <xdr:nvSpPr>
          <xdr:cNvPr id="5" name="Rectángulo 4">
            <a:extLst>
              <a:ext uri="{FF2B5EF4-FFF2-40B4-BE49-F238E27FC236}">
                <a16:creationId xmlns:a16="http://schemas.microsoft.com/office/drawing/2014/main" id="{2DC9CE27-AD10-0D40-2F81-9D3FAE069711}"/>
              </a:ext>
            </a:extLst>
          </xdr:cNvPr>
          <xdr:cNvSpPr/>
        </xdr:nvSpPr>
        <xdr:spPr>
          <a:xfrm>
            <a:off x="0" y="0"/>
            <a:ext cx="10600612" cy="323980"/>
          </a:xfrm>
          <a:prstGeom prst="rect">
            <a:avLst/>
          </a:prstGeom>
          <a:gradFill flip="none" rotWithShape="1">
            <a:gsLst>
              <a:gs pos="0">
                <a:srgbClr val="06AB48">
                  <a:shade val="30000"/>
                  <a:satMod val="115000"/>
                </a:srgbClr>
              </a:gs>
              <a:gs pos="50000">
                <a:srgbClr val="06AB48">
                  <a:shade val="67500"/>
                  <a:satMod val="115000"/>
                </a:srgbClr>
              </a:gs>
              <a:gs pos="100000">
                <a:srgbClr val="06AB48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pic>
        <xdr:nvPicPr>
          <xdr:cNvPr id="6" name="Imagen 5">
            <a:extLst>
              <a:ext uri="{FF2B5EF4-FFF2-40B4-BE49-F238E27FC236}">
                <a16:creationId xmlns:a16="http://schemas.microsoft.com/office/drawing/2014/main" id="{6B364C05-9E09-3643-9748-3828109E8A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8301" b="91113" l="9473" r="90137">
                        <a14:foregroundMark x1="66895" y1="47266" x2="66895" y2="47266"/>
                        <a14:foregroundMark x1="76563" y1="46484" x2="76563" y2="46484"/>
                        <a14:foregroundMark x1="90137" y1="52441" x2="90137" y2="52441"/>
                        <a14:foregroundMark x1="49316" y1="8398" x2="49316" y2="8398"/>
                        <a14:foregroundMark x1="9570" y1="49707" x2="9570" y2="49707"/>
                        <a14:foregroundMark x1="51563" y1="91113" x2="51563" y2="9111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114" y="6481"/>
            <a:ext cx="453570" cy="303912"/>
          </a:xfrm>
          <a:prstGeom prst="rect">
            <a:avLst/>
          </a:prstGeom>
          <a:ln>
            <a:noFill/>
          </a:ln>
          <a:effectLst>
            <a:outerShdw blurRad="190500" algn="tl" rotWithShape="0">
              <a:srgbClr val="000000">
                <a:alpha val="70000"/>
              </a:srgbClr>
            </a:outerShdw>
          </a:effectLst>
        </xdr:spPr>
      </xdr:pic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5886700D-2C7D-DAFD-1D46-7CD62C2DDF49}"/>
              </a:ext>
            </a:extLst>
          </xdr:cNvPr>
          <xdr:cNvSpPr txBox="1"/>
        </xdr:nvSpPr>
        <xdr:spPr>
          <a:xfrm>
            <a:off x="524849" y="38877"/>
            <a:ext cx="505408" cy="213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Inicio</a:t>
            </a:r>
          </a:p>
          <a:p>
            <a:pPr algn="ctr"/>
            <a:r>
              <a:rPr lang="es-CL" sz="1100"/>
              <a:t>c</a:t>
            </a:r>
          </a:p>
        </xdr:txBody>
      </xdr:sp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8B81BCF4-98D7-59C9-C131-68CDDA2D0CC4}"/>
              </a:ext>
            </a:extLst>
          </xdr:cNvPr>
          <xdr:cNvSpPr txBox="1"/>
        </xdr:nvSpPr>
        <xdr:spPr>
          <a:xfrm>
            <a:off x="2507601" y="58317"/>
            <a:ext cx="933061" cy="2008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Parametros</a:t>
            </a:r>
          </a:p>
          <a:p>
            <a:pPr algn="ctr"/>
            <a:endParaRPr lang="es-CL" sz="1100" b="1">
              <a:solidFill>
                <a:schemeClr val="bg1"/>
              </a:solidFill>
            </a:endParaRPr>
          </a:p>
          <a:p>
            <a:pPr algn="ctr"/>
            <a:r>
              <a:rPr lang="es-CL" sz="1100"/>
              <a:t>c</a:t>
            </a:r>
          </a:p>
        </xdr:txBody>
      </xdr: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36BEA0B9-8C43-8DB0-2D37-DC1D2691CFF1}"/>
              </a:ext>
            </a:extLst>
          </xdr:cNvPr>
          <xdr:cNvGrpSpPr/>
        </xdr:nvGrpSpPr>
        <xdr:grpSpPr>
          <a:xfrm>
            <a:off x="5080001" y="48597"/>
            <a:ext cx="5365101" cy="220306"/>
            <a:chOff x="5080001" y="48597"/>
            <a:chExt cx="5365101" cy="220306"/>
          </a:xfrm>
        </xdr:grpSpPr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E26525B4-987B-C555-A64A-AECE78ECCFC8}"/>
                </a:ext>
              </a:extLst>
            </xdr:cNvPr>
            <xdr:cNvSpPr txBox="1"/>
          </xdr:nvSpPr>
          <xdr:spPr>
            <a:xfrm>
              <a:off x="9512041" y="58317"/>
              <a:ext cx="933061" cy="2008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Contabilidad</a:t>
              </a:r>
              <a:endParaRPr lang="es-CL" sz="1100" b="0">
                <a:solidFill>
                  <a:schemeClr val="dk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2" name="CuadroTexto 1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1E325D68-EAA0-D5E3-FCAF-801DC4CA1531}"/>
                </a:ext>
              </a:extLst>
            </xdr:cNvPr>
            <xdr:cNvSpPr txBox="1"/>
          </xdr:nvSpPr>
          <xdr:spPr>
            <a:xfrm>
              <a:off x="8051021" y="60001"/>
              <a:ext cx="1182397" cy="1974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Liquidaciones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13" name="CuadroTexto 1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4B1756F0-ED86-D024-DECE-E71EBDA419AC}"/>
                </a:ext>
              </a:extLst>
            </xdr:cNvPr>
            <xdr:cNvSpPr txBox="1"/>
          </xdr:nvSpPr>
          <xdr:spPr>
            <a:xfrm>
              <a:off x="6563826" y="51837"/>
              <a:ext cx="1244082" cy="2138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Días</a:t>
              </a:r>
              <a:r>
                <a:rPr lang="es-CL" sz="1100" b="1" baseline="0">
                  <a:solidFill>
                    <a:schemeClr val="bg1"/>
                  </a:solidFill>
                </a:rPr>
                <a:t> Trabajados</a:t>
              </a:r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80F27106-68C7-927A-EEF0-466B9C232796}"/>
                </a:ext>
              </a:extLst>
            </xdr:cNvPr>
            <xdr:cNvSpPr txBox="1"/>
          </xdr:nvSpPr>
          <xdr:spPr>
            <a:xfrm>
              <a:off x="5080001" y="48597"/>
              <a:ext cx="1127448" cy="22030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Trabajadores</a:t>
              </a:r>
            </a:p>
            <a:p>
              <a:pPr algn="ctr"/>
              <a:r>
                <a:rPr lang="es-CL" sz="1100"/>
                <a:t>c</a:t>
              </a:r>
            </a:p>
          </xdr:txBody>
        </xdr:sp>
      </xdr:grpSp>
      <xdr:sp macro="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5B32E6AD-D7D3-0BCD-11D6-214EA7EC29FB}"/>
              </a:ext>
            </a:extLst>
          </xdr:cNvPr>
          <xdr:cNvSpPr/>
        </xdr:nvSpPr>
        <xdr:spPr>
          <a:xfrm flipV="1">
            <a:off x="5234216" y="239278"/>
            <a:ext cx="881223" cy="45719"/>
          </a:xfrm>
          <a:prstGeom prst="roundRect">
            <a:avLst/>
          </a:prstGeom>
          <a:solidFill>
            <a:srgbClr val="00CC00"/>
          </a:solidFill>
          <a:ln w="3175">
            <a:solidFill>
              <a:srgbClr val="021B25"/>
            </a:solidFill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s-CL" sz="1100" b="0" cap="none" spc="0">
              <a:ln>
                <a:noFill/>
              </a:ln>
              <a:solidFill>
                <a:srgbClr val="06AB48"/>
              </a:solidFill>
              <a:effectLst/>
              <a:latin typeface="Aptos ExtraBold" panose="020F050202020403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311150</xdr:colOff>
      <xdr:row>1</xdr:row>
      <xdr:rowOff>139830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24DE78DD-EACB-4414-AB49-95068F45BF5B}"/>
            </a:ext>
          </a:extLst>
        </xdr:cNvPr>
        <xdr:cNvGrpSpPr/>
      </xdr:nvGrpSpPr>
      <xdr:grpSpPr>
        <a:xfrm>
          <a:off x="0" y="0"/>
          <a:ext cx="11766550" cy="323980"/>
          <a:chOff x="0" y="0"/>
          <a:chExt cx="10600612" cy="323980"/>
        </a:xfrm>
      </xdr:grpSpPr>
      <xdr:sp macro="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6CF6E8A2-B63F-4DD4-C05E-8C7FC541D3D1}"/>
              </a:ext>
            </a:extLst>
          </xdr:cNvPr>
          <xdr:cNvSpPr/>
        </xdr:nvSpPr>
        <xdr:spPr>
          <a:xfrm>
            <a:off x="0" y="0"/>
            <a:ext cx="10600612" cy="323980"/>
          </a:xfrm>
          <a:prstGeom prst="rect">
            <a:avLst/>
          </a:prstGeom>
          <a:gradFill flip="none" rotWithShape="1">
            <a:gsLst>
              <a:gs pos="0">
                <a:srgbClr val="06AB48">
                  <a:shade val="30000"/>
                  <a:satMod val="115000"/>
                </a:srgbClr>
              </a:gs>
              <a:gs pos="50000">
                <a:srgbClr val="06AB48">
                  <a:shade val="67500"/>
                  <a:satMod val="115000"/>
                </a:srgbClr>
              </a:gs>
              <a:gs pos="100000">
                <a:srgbClr val="06AB48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3423A3F0-D4FD-45A5-57BF-BDA23E3321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8301" b="91113" l="9473" r="90137">
                        <a14:foregroundMark x1="66895" y1="47266" x2="66895" y2="47266"/>
                        <a14:foregroundMark x1="76563" y1="46484" x2="76563" y2="46484"/>
                        <a14:foregroundMark x1="90137" y1="52441" x2="90137" y2="52441"/>
                        <a14:foregroundMark x1="49316" y1="8398" x2="49316" y2="8398"/>
                        <a14:foregroundMark x1="9570" y1="49707" x2="9570" y2="49707"/>
                        <a14:foregroundMark x1="51563" y1="91113" x2="51563" y2="9111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114" y="6481"/>
            <a:ext cx="453570" cy="303912"/>
          </a:xfrm>
          <a:prstGeom prst="rect">
            <a:avLst/>
          </a:prstGeom>
          <a:ln>
            <a:noFill/>
          </a:ln>
          <a:effectLst>
            <a:outerShdw blurRad="190500" algn="tl" rotWithShape="0">
              <a:srgbClr val="000000">
                <a:alpha val="70000"/>
              </a:srgbClr>
            </a:outerShdw>
          </a:effectLst>
        </xdr:spPr>
      </xdr:pic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74118BEC-3A85-A3E6-2F66-7820C5546C54}"/>
              </a:ext>
            </a:extLst>
          </xdr:cNvPr>
          <xdr:cNvSpPr txBox="1"/>
        </xdr:nvSpPr>
        <xdr:spPr>
          <a:xfrm>
            <a:off x="524849" y="38877"/>
            <a:ext cx="505408" cy="213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Inicio</a:t>
            </a:r>
          </a:p>
          <a:p>
            <a:pPr algn="ctr"/>
            <a:r>
              <a:rPr lang="es-CL" sz="1100"/>
              <a:t>c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8FE05376-E67B-9DD9-A799-4CAD87A8BEBD}"/>
              </a:ext>
            </a:extLst>
          </xdr:cNvPr>
          <xdr:cNvSpPr txBox="1"/>
        </xdr:nvSpPr>
        <xdr:spPr>
          <a:xfrm>
            <a:off x="2507601" y="58317"/>
            <a:ext cx="933061" cy="2008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L" sz="1100" b="1">
                <a:solidFill>
                  <a:schemeClr val="bg1"/>
                </a:solidFill>
              </a:rPr>
              <a:t>Parametros</a:t>
            </a:r>
          </a:p>
          <a:p>
            <a:pPr algn="ctr"/>
            <a:endParaRPr lang="es-CL" sz="1100" b="1">
              <a:solidFill>
                <a:schemeClr val="bg1"/>
              </a:solidFill>
            </a:endParaRPr>
          </a:p>
          <a:p>
            <a:pPr algn="ctr"/>
            <a:r>
              <a:rPr lang="es-CL" sz="1100"/>
              <a:t>c</a:t>
            </a:r>
          </a:p>
        </xdr:txBody>
      </xdr: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E18DDBB5-A84A-2A32-FBFD-AF84F17A88E9}"/>
              </a:ext>
            </a:extLst>
          </xdr:cNvPr>
          <xdr:cNvGrpSpPr/>
        </xdr:nvGrpSpPr>
        <xdr:grpSpPr>
          <a:xfrm>
            <a:off x="5080001" y="48597"/>
            <a:ext cx="5365101" cy="220306"/>
            <a:chOff x="5080001" y="48597"/>
            <a:chExt cx="5365101" cy="220306"/>
          </a:xfrm>
        </xdr:grpSpPr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B21FC1-2D20-4E26-6FD3-168B8E1FC76C}"/>
                </a:ext>
              </a:extLst>
            </xdr:cNvPr>
            <xdr:cNvSpPr txBox="1"/>
          </xdr:nvSpPr>
          <xdr:spPr>
            <a:xfrm>
              <a:off x="9512041" y="58317"/>
              <a:ext cx="933061" cy="2008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Contabilidad</a:t>
              </a:r>
              <a:endParaRPr lang="es-CL" sz="1100" b="0">
                <a:solidFill>
                  <a:schemeClr val="dk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3BB13542-BF64-19B5-FA36-36E528EC973D}"/>
                </a:ext>
              </a:extLst>
            </xdr:cNvPr>
            <xdr:cNvSpPr txBox="1"/>
          </xdr:nvSpPr>
          <xdr:spPr>
            <a:xfrm>
              <a:off x="8051021" y="60001"/>
              <a:ext cx="1182397" cy="1974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Liquidaciones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es</a:t>
              </a: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22" name="CuadroTexto 2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68719C13-4C49-36BB-062E-7BCBD58597BB}"/>
                </a:ext>
              </a:extLst>
            </xdr:cNvPr>
            <xdr:cNvSpPr txBox="1"/>
          </xdr:nvSpPr>
          <xdr:spPr>
            <a:xfrm>
              <a:off x="6563826" y="51837"/>
              <a:ext cx="1244082" cy="2138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Días</a:t>
              </a:r>
              <a:r>
                <a:rPr lang="es-CL" sz="1100" b="1" baseline="0">
                  <a:solidFill>
                    <a:schemeClr val="bg1"/>
                  </a:solidFill>
                </a:rPr>
                <a:t> Trabajados</a:t>
              </a:r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endParaRPr lang="es-CL" sz="1100" b="1">
                <a:solidFill>
                  <a:schemeClr val="bg1"/>
                </a:solidFill>
              </a:endParaRPr>
            </a:p>
            <a:p>
              <a:pPr algn="ctr"/>
              <a:r>
                <a:rPr lang="es-CL" sz="1100"/>
                <a:t>c</a:t>
              </a:r>
            </a:p>
          </xdr:txBody>
        </xdr:sp>
        <xdr:sp macro="" textlink="">
          <xdr:nvSpPr>
            <xdr:cNvPr id="23" name="CuadroTexto 2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CC41E05D-BC01-384A-142C-30E2B6BB9778}"/>
                </a:ext>
              </a:extLst>
            </xdr:cNvPr>
            <xdr:cNvSpPr txBox="1"/>
          </xdr:nvSpPr>
          <xdr:spPr>
            <a:xfrm>
              <a:off x="5080001" y="48597"/>
              <a:ext cx="1127448" cy="22030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CL" sz="1100" b="1">
                  <a:solidFill>
                    <a:schemeClr val="bg1"/>
                  </a:solidFill>
                </a:rPr>
                <a:t>Trabajadores</a:t>
              </a:r>
            </a:p>
            <a:p>
              <a:pPr algn="ctr"/>
              <a:r>
                <a:rPr lang="es-CL" sz="1100"/>
                <a:t>c</a:t>
              </a:r>
            </a:p>
          </xdr:txBody>
        </xdr:sp>
      </xdr:grpSp>
      <xdr:sp macro="" textlink="">
        <xdr:nvSpPr>
          <xdr:cNvPr id="19" name="Rectángulo: esquinas redondeadas 18">
            <a:extLst>
              <a:ext uri="{FF2B5EF4-FFF2-40B4-BE49-F238E27FC236}">
                <a16:creationId xmlns:a16="http://schemas.microsoft.com/office/drawing/2014/main" id="{BFBB033E-679C-71F5-6A67-DB54B202F4F1}"/>
              </a:ext>
            </a:extLst>
          </xdr:cNvPr>
          <xdr:cNvSpPr/>
        </xdr:nvSpPr>
        <xdr:spPr>
          <a:xfrm flipV="1">
            <a:off x="8208300" y="239278"/>
            <a:ext cx="881223" cy="45719"/>
          </a:xfrm>
          <a:prstGeom prst="roundRect">
            <a:avLst/>
          </a:prstGeom>
          <a:solidFill>
            <a:srgbClr val="00CC00"/>
          </a:solidFill>
          <a:ln w="3175">
            <a:solidFill>
              <a:srgbClr val="021B25"/>
            </a:solidFill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s-CL" sz="1100" b="0" cap="none" spc="0">
              <a:ln>
                <a:noFill/>
              </a:ln>
              <a:solidFill>
                <a:srgbClr val="06AB48"/>
              </a:solidFill>
              <a:effectLst/>
              <a:latin typeface="Aptos ExtraBold" panose="020F0502020204030204" pitchFamily="34" charset="0"/>
            </a:endParaRPr>
          </a:p>
        </xdr:txBody>
      </xdr:sp>
    </xdr:grp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22CC26-2116-4599-A431-C1353767E372}" autoFormatId="16" applyNumberFormats="0" applyBorderFormats="0" applyFontFormats="0" applyPatternFormats="0" applyAlignmentFormats="0" applyWidthHeightFormats="0">
  <queryTableRefresh nextId="3">
    <queryTableFields count="2">
      <queryTableField id="1" name="2025" tableColumnId="1"/>
      <queryTableField id="2" name="UTM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1E3B0E2D-1376-48A3-9007-41801DCE02A3}" autoFormatId="16" applyNumberFormats="0" applyBorderFormats="0" applyFontFormats="0" applyPatternFormats="0" applyAlignmentFormats="0" applyWidthHeightFormats="0">
  <queryTableRefresh nextId="6">
    <queryTableFields count="5">
      <queryTableField id="1" name="Desde" tableColumnId="1"/>
      <queryTableField id="2" name="Hasta" tableColumnId="2"/>
      <queryTableField id="3" name="Factor" tableColumnId="3"/>
      <queryTableField id="4" name="Cantidad a rebajar" tableColumnId="4"/>
      <queryTableField id="5" name="Tasa de Impuesto Efectiva, máxima por cada tramo de Renta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87E60-9FB6-4EC6-88E6-CC5E183BE7E7}" name="Valor_mensual_UTM" displayName="Valor_mensual_UTM" ref="A4:B16" tableType="queryTable" totalsRowShown="0">
  <autoFilter ref="A4:B16" xr:uid="{05D87E60-9FB6-4EC6-88E6-CC5E183BE7E7}"/>
  <tableColumns count="2">
    <tableColumn id="1" xr3:uid="{38ECD0FC-13E6-440A-B38B-2946BA12CD1E}" uniqueName="1" name="2025" queryTableFieldId="1" dataDxfId="30"/>
    <tableColumn id="2" xr3:uid="{110EFF14-4096-4B41-80E9-27A3DAAEE299}" uniqueName="2" name="UTM" queryTableFieldId="2" dataDxfId="29" dataCellStyle="Moneda [0]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1A2D7-DF32-4299-BD96-006C2E1BAFE5}" name="Monto_de_Cálculo_del_Impuesto_Único_de_Segunda_Categoría" displayName="Monto_de_Cálculo_del_Impuesto_Único_de_Segunda_Categoría" ref="D4:H12" tableType="queryTable" totalsRowShown="0">
  <autoFilter ref="D4:H12" xr:uid="{8831A2D7-DF32-4299-BD96-006C2E1BAFE5}"/>
  <tableColumns count="5">
    <tableColumn id="1" xr3:uid="{BCC4BF90-07C0-4E39-A5C8-CD6E7CAED5DA}" uniqueName="1" name="Desde" queryTableFieldId="1" dataDxfId="28"/>
    <tableColumn id="2" xr3:uid="{A31DA7CD-D059-41F3-9A91-D01677F6534C}" uniqueName="2" name="Hasta" queryTableFieldId="2" dataDxfId="27"/>
    <tableColumn id="3" xr3:uid="{FC7B638C-954A-4A63-B719-B5CB9AE5D63B}" uniqueName="3" name="Factor" queryTableFieldId="3" dataDxfId="26"/>
    <tableColumn id="4" xr3:uid="{5FB589F8-76A6-43DD-AE73-92D3E6DDDD74}" uniqueName="4" name="Cantidad a rebajar" queryTableFieldId="4" dataDxfId="25"/>
    <tableColumn id="5" xr3:uid="{48E715E1-B312-4E2F-9008-4B7969F955A2}" uniqueName="5" name="Tasa de Impuesto Efectiva, máxima por cada tramo de Renta" queryTableFieldId="5" dataDxf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F48C1C-2FAE-4C6E-BACA-673BA33E1A74}" name="Asiganción_Familiar" displayName="Asiganción_Familiar" ref="J4:M8" totalsRowShown="0" dataDxfId="23" dataCellStyle="Moneda [0]">
  <autoFilter ref="J4:M8" xr:uid="{8BF48C1C-2FAE-4C6E-BACA-673BA33E1A74}"/>
  <tableColumns count="4">
    <tableColumn id="1" xr3:uid="{66D200B4-A0D2-4EA6-928D-B5FDFE38A255}" name="Tramo"/>
    <tableColumn id="2" xr3:uid="{A7FAE0F2-9180-42BA-8933-D281DE257370}" name="Desde " dataDxfId="22" dataCellStyle="Moneda [0]"/>
    <tableColumn id="3" xr3:uid="{41EC5422-299C-42E9-BE2E-3C5915A29359}" name="Hasta" dataDxfId="21" dataCellStyle="Moneda [0]"/>
    <tableColumn id="4" xr3:uid="{E7C31B4A-002A-449A-90F5-BC2934A1E650}" name="Valor" dataDxfId="20" dataCellStyle="Moneda [0]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E82FDE3-B03C-4929-A1E1-E4954D1E931F}" name="Tabla5" displayName="Tabla5" ref="J11:K14" totalsRowShown="0">
  <autoFilter ref="J11:K14" xr:uid="{3E82FDE3-B03C-4929-A1E1-E4954D1E931F}"/>
  <tableColumns count="2">
    <tableColumn id="1" xr3:uid="{1FFBEC3D-EC47-45D3-8297-19F8F91AF476}" name="Fecha" dataDxfId="19"/>
    <tableColumn id="2" xr3:uid="{45068449-FBEB-4386-B4A3-35E4297EBCFD}" name="Decripc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092F3C-0534-4877-98BF-5DA17BED2D8D}" name="Vacaciones" displayName="Vacaciones" ref="D16:D18" totalsRowShown="0">
  <autoFilter ref="D16:D18" xr:uid="{89092F3C-0534-4877-98BF-5DA17BED2D8D}"/>
  <tableColumns count="1">
    <tableColumn id="1" xr3:uid="{0FD3C526-C958-48A0-945A-1D3554364345}" name="Vacacion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7DFFF7A-1576-435C-8DED-FBC322B8C432}" name="Tabla8" displayName="Tabla8" ref="A8:J11" totalsRowShown="0" headerRowDxfId="18" dataDxfId="17">
  <autoFilter ref="A8:J11" xr:uid="{87DFFF7A-1576-435C-8DED-FBC322B8C432}"/>
  <tableColumns count="10">
    <tableColumn id="1" xr3:uid="{502EF17A-FF54-4DB2-B936-DE0F4662E781}" name="Fecha" dataDxfId="16"/>
    <tableColumn id="2" xr3:uid="{FF984CE2-C21B-4FB3-A62B-0118714ACCB8}" name="ID" dataDxfId="15"/>
    <tableColumn id="3" xr3:uid="{175EB791-82B1-4406-B2DB-281C5FBE95C5}" name="Dias Trabajados" dataDxfId="14"/>
    <tableColumn id="4" xr3:uid="{AA85EA2E-5E9F-4F8C-B2B5-F35B580041D5}" name="Dias Falta" dataDxfId="13"/>
    <tableColumn id="5" xr3:uid="{C337E8B8-40FF-4D8E-9F01-25614C075F09}" name="HH Trabajadas" dataDxfId="12"/>
    <tableColumn id="6" xr3:uid="{0793C9D1-34DA-4D17-95A0-58E598D66E2F}" name="HH Extras" dataDxfId="11"/>
    <tableColumn id="7" xr3:uid="{DF97B913-4ED9-4D52-9EE5-7FB462381B62}" name="HH Descuento" dataDxfId="10"/>
    <tableColumn id="8" xr3:uid="{3A982AEE-743A-4566-B4E2-7BDB9869DB1E}" name="Días Vacaciones" dataDxfId="9"/>
    <tableColumn id="9" xr3:uid="{6342F968-33C3-4195-A4E2-873631FD12BD}" name="Desde" dataDxfId="8"/>
    <tableColumn id="10" xr3:uid="{1125111D-6CB7-413D-967E-889B42A4DBD9}" name="Hasta" dataDxfId="7"/>
  </tableColumns>
  <tableStyleInfo name="TableStyleDark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09C2C2-52FE-4F53-8858-92BA27AD6B55}" name="Empleados" displayName="Empleados" ref="A3:Q9" totalsRowShown="0">
  <autoFilter ref="A3:Q9" xr:uid="{5309C2C2-52FE-4F53-8858-92BA27AD6B55}"/>
  <tableColumns count="17">
    <tableColumn id="1" xr3:uid="{4F2D11A3-4712-495C-84D8-D5D748BC1DE9}" name="ID" dataDxfId="6">
      <calculatedColumnFormula>ROWS(Empleados[[#This Row],[Apellidos]:[Apellidos]])</calculatedColumnFormula>
    </tableColumn>
    <tableColumn id="2" xr3:uid="{74D1CC4E-08C4-457E-8300-30AB1717ECA6}" name="Apellidos"/>
    <tableColumn id="3" xr3:uid="{C3FB2898-FBCA-46C9-95EA-A8F76DD9BDD7}" name="Nombres"/>
    <tableColumn id="4" xr3:uid="{ECBA401E-8454-45A2-9FF7-2D6A858B5480}" name="Rut"/>
    <tableColumn id="5" xr3:uid="{1F8EFBA2-D8EF-4F0E-9949-BCE9ECB73BBB}" name="Cargo "/>
    <tableColumn id="6" xr3:uid="{76BF050E-B46E-4214-8E33-289963A9CFC1}" name="Cel"/>
    <tableColumn id="7" xr3:uid="{DF4990C8-825C-4484-BF4E-597A7E5B082C}" name="Correo" dataCellStyle="Hipervínculo"/>
    <tableColumn id="8" xr3:uid="{29634C10-792E-45E9-8474-356F49505D16}" name="Fecha de Ingreso" dataDxfId="5"/>
    <tableColumn id="9" xr3:uid="{F10FB12E-D3E4-4286-A98D-8A7A4BE596E0}" name="Tipo de Contrato"/>
    <tableColumn id="10" xr3:uid="{09AAA89D-0B86-4A4D-B12A-D90DDA63333F}" name="Prevision"/>
    <tableColumn id="11" xr3:uid="{7F93A1C4-B5A1-46C1-A787-54F5E97CF1CA}" name="Salud"/>
    <tableColumn id="12" xr3:uid="{84F094EF-8F8F-483D-A038-57E8553615C0}" name="Valor Sulud"/>
    <tableColumn id="13" xr3:uid="{E93D0F2E-F054-489A-A3ED-87146F15C977}" name="Cargas Familiar"/>
    <tableColumn id="16" xr3:uid="{10C5E89E-58E9-46B4-85B7-A46A82CB07CA}" name="Jornada Laboral"/>
    <tableColumn id="14" xr3:uid="{88199357-72F9-4654-8C99-3D62F19E83E6}" name="Dias de descaso"/>
    <tableColumn id="15" xr3:uid="{FD228858-1B6B-4114-BB07-661D509DD738}" name="Cod" dataDxfId="4">
      <calculatedColumnFormula>IFERROR(VLOOKUP(Empleados[[#This Row],[Dias de descaso]],Info_Indicadores!$H$18:$I$31,2,0),"")</calculatedColumnFormula>
    </tableColumn>
    <tableColumn id="17" xr3:uid="{3518DEA8-871A-4650-8852-6FB5F89E01A2}" name="Horas Semanal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FDD06-8FEB-4C36-932E-09AB47F5D449}" name="Tabla7" displayName="Tabla7" ref="A1:P2" insertRow="1" totalsRowShown="0">
  <autoFilter ref="A1:P2" xr:uid="{2EAFDD06-8FEB-4C36-932E-09AB47F5D449}"/>
  <tableColumns count="16">
    <tableColumn id="1" xr3:uid="{3660D76E-4EE3-4DE7-95B8-C4D04684A185}" name="ID"/>
    <tableColumn id="17" xr3:uid="{3FC44D72-B089-47C4-9CD4-AAB6147AECF2}" name="Fecha de Emisión"/>
    <tableColumn id="5" xr3:uid="{B13AE47A-E244-4528-A6C0-69325D937676}" name="Días Trabajados"/>
    <tableColumn id="2" xr3:uid="{182662A2-8274-4237-8149-E7BCB5E835AD}" name="Cant. Horas Extras"/>
    <tableColumn id="3" xr3:uid="{01678753-FC9F-4AFF-A5E4-FF5E8B6A82F4}" name="Recargo"/>
    <tableColumn id="6" xr3:uid="{12AB95F1-B18F-4863-9CF4-990CB713E3FD}" name="Comisiónes"/>
    <tableColumn id="7" xr3:uid="{43EED49F-ED1C-4626-A26C-09995D66D000}" name="Participaciones"/>
    <tableColumn id="8" xr3:uid="{C512C773-72EA-4E19-ACE2-33EBAC43784D}" name="Gratifiacaión"/>
    <tableColumn id="9" xr3:uid="{1B0CB1B5-3BAD-4ABF-B526-5C5BF3B813F6}" name="Asiganacion Familiar"/>
    <tableColumn id="10" xr3:uid="{BF49B007-7664-4670-B03D-D889A2AB726F}" name="Colación"/>
    <tableColumn id="11" xr3:uid="{C9DAEE16-23FE-497D-A71C-B8DF540C9A9B}" name="Movilización"/>
    <tableColumn id="12" xr3:uid="{E2FE766D-E499-4FFE-91D6-B6D71FB14917}" name="APF"/>
    <tableColumn id="14" xr3:uid="{0825C1F6-F1D6-4CF1-960C-48817DE56FE4}" name="APV"/>
    <tableColumn id="13" xr3:uid="{9B0A1CAD-E993-40DF-8B54-CA68C816C370}" name="Salud "/>
    <tableColumn id="15" xr3:uid="{B2E881FC-684E-442E-9258-8D06CC9176F8}" name="Seguro de Cesantía"/>
    <tableColumn id="16" xr3:uid="{B8C7C9A3-12A9-4A4E-B8D6-680504B4DA50}" name="                             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1F1E2B5-73CE-41C2-9842-D8DFD2B34885}" name="Tabla6" displayName="Tabla6" ref="A1:C2" totalsRowShown="0">
  <autoFilter ref="A1:C2" xr:uid="{E1F1E2B5-73CE-41C2-9842-D8DFD2B34885}"/>
  <tableColumns count="3">
    <tableColumn id="1" xr3:uid="{2495AC0E-8900-4667-951E-DD166804D8DB}" name="Razon Social"/>
    <tableColumn id="2" xr3:uid="{7F5848BE-0C90-4935-AB95-BF18EDCBE32A}" name="Rut"/>
    <tableColumn id="3" xr3:uid="{DF527FC0-4E17-459E-AC8F-90C2B38EC0F0}" name="Gi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0D06"/>
        </a:solidFill>
        <a:ln w="3175">
          <a:solidFill>
            <a:srgbClr val="021B25"/>
          </a:solidFill>
        </a:ln>
      </a:spPr>
      <a:bodyPr vertOverflow="clip" horzOverflow="clip" rtlCol="0" anchor="t"/>
      <a:lstStyle>
        <a:defPPr algn="l">
          <a:defRPr sz="1100" b="0" cap="none" spc="0">
            <a:ln>
              <a:noFill/>
            </a:ln>
            <a:solidFill>
              <a:srgbClr val="06AB48"/>
            </a:solidFill>
            <a:effectLst/>
            <a:latin typeface="Aptos ExtraBold" panose="020F0502020204030204" pitchFamily="34" charset="0"/>
          </a:defRPr>
        </a:defPPr>
      </a:lstStyle>
      <a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hyperlink" Target="mailto:andreshueraman.st@gmail.com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mailto:lanco.djlajf@gmail.com" TargetMode="External"/><Relationship Id="rId1" Type="http://schemas.openxmlformats.org/officeDocument/2006/relationships/hyperlink" Target="mailto:andreshueraman.st@gmail.com" TargetMode="External"/><Relationship Id="rId6" Type="http://schemas.openxmlformats.org/officeDocument/2006/relationships/hyperlink" Target="mailto:lanco.djlajf@gmail.com" TargetMode="External"/><Relationship Id="rId5" Type="http://schemas.openxmlformats.org/officeDocument/2006/relationships/hyperlink" Target="mailto:lanco.djlajf@gmail.com" TargetMode="External"/><Relationship Id="rId4" Type="http://schemas.openxmlformats.org/officeDocument/2006/relationships/hyperlink" Target="mailto:andreshueraman.st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9AD68-5D7D-4D50-B0DF-45E3D093E310}">
  <sheetPr codeName="Hoja1"/>
  <dimension ref="A4:M31"/>
  <sheetViews>
    <sheetView workbookViewId="0"/>
  </sheetViews>
  <sheetFormatPr baseColWidth="10" defaultRowHeight="14.5" x14ac:dyDescent="0.35"/>
  <cols>
    <col min="1" max="1" width="10.36328125" bestFit="1" customWidth="1"/>
    <col min="2" max="2" width="8.26953125" style="3" bestFit="1" customWidth="1"/>
    <col min="3" max="3" width="8.26953125" style="3" customWidth="1"/>
    <col min="4" max="4" width="10.7265625" customWidth="1"/>
    <col min="5" max="5" width="13.90625" bestFit="1" customWidth="1"/>
    <col min="6" max="6" width="8.36328125" bestFit="1" customWidth="1"/>
    <col min="7" max="7" width="18.7265625" bestFit="1" customWidth="1"/>
    <col min="8" max="8" width="38.36328125" customWidth="1"/>
    <col min="11" max="11" width="11.6328125" customWidth="1"/>
  </cols>
  <sheetData>
    <row r="4" spans="1:13" ht="29" x14ac:dyDescent="0.35">
      <c r="A4" t="s">
        <v>62</v>
      </c>
      <c r="B4" s="3" t="s">
        <v>63</v>
      </c>
      <c r="D4" t="s">
        <v>19</v>
      </c>
      <c r="E4" t="s">
        <v>0</v>
      </c>
      <c r="F4" t="s">
        <v>20</v>
      </c>
      <c r="G4" t="s">
        <v>21</v>
      </c>
      <c r="H4" s="4" t="s">
        <v>22</v>
      </c>
      <c r="J4" t="s">
        <v>1</v>
      </c>
      <c r="K4" t="s">
        <v>2</v>
      </c>
      <c r="L4" t="s">
        <v>0</v>
      </c>
      <c r="M4" t="s">
        <v>3</v>
      </c>
    </row>
    <row r="5" spans="1:13" x14ac:dyDescent="0.35">
      <c r="A5" t="s">
        <v>64</v>
      </c>
      <c r="B5" s="3">
        <v>67429</v>
      </c>
      <c r="D5" t="s">
        <v>23</v>
      </c>
      <c r="E5" t="s">
        <v>24</v>
      </c>
      <c r="F5" t="s">
        <v>25</v>
      </c>
      <c r="G5" t="s">
        <v>23</v>
      </c>
      <c r="H5" t="s">
        <v>25</v>
      </c>
      <c r="J5" t="s">
        <v>5</v>
      </c>
      <c r="K5" s="3">
        <v>0</v>
      </c>
      <c r="L5" s="3">
        <v>598698</v>
      </c>
      <c r="M5" s="3">
        <v>21243</v>
      </c>
    </row>
    <row r="6" spans="1:13" x14ac:dyDescent="0.35">
      <c r="A6" t="s">
        <v>65</v>
      </c>
      <c r="B6" s="3">
        <v>67294</v>
      </c>
      <c r="D6" t="s">
        <v>26</v>
      </c>
      <c r="E6" t="s">
        <v>27</v>
      </c>
      <c r="F6" t="s">
        <v>28</v>
      </c>
      <c r="G6" t="s">
        <v>29</v>
      </c>
      <c r="H6" t="s">
        <v>30</v>
      </c>
      <c r="J6" t="s">
        <v>6</v>
      </c>
      <c r="K6" s="3">
        <v>598699</v>
      </c>
      <c r="L6" s="3">
        <v>874460</v>
      </c>
      <c r="M6" s="3">
        <v>13036</v>
      </c>
    </row>
    <row r="7" spans="1:13" x14ac:dyDescent="0.35">
      <c r="A7" t="s">
        <v>66</v>
      </c>
      <c r="B7" s="3">
        <v>68034</v>
      </c>
      <c r="D7" t="s">
        <v>31</v>
      </c>
      <c r="E7" t="s">
        <v>32</v>
      </c>
      <c r="F7" t="s">
        <v>33</v>
      </c>
      <c r="G7" t="s">
        <v>34</v>
      </c>
      <c r="H7" t="s">
        <v>35</v>
      </c>
      <c r="J7" t="s">
        <v>7</v>
      </c>
      <c r="K7" s="3">
        <v>874461</v>
      </c>
      <c r="L7" s="3">
        <v>1363158</v>
      </c>
      <c r="M7" s="3">
        <v>4119</v>
      </c>
    </row>
    <row r="8" spans="1:13" x14ac:dyDescent="0.35">
      <c r="A8" t="s">
        <v>67</v>
      </c>
      <c r="B8" s="3">
        <v>68306</v>
      </c>
      <c r="D8" t="s">
        <v>36</v>
      </c>
      <c r="E8" t="s">
        <v>37</v>
      </c>
      <c r="F8" t="s">
        <v>38</v>
      </c>
      <c r="G8" t="s">
        <v>39</v>
      </c>
      <c r="H8" t="s">
        <v>40</v>
      </c>
      <c r="J8" t="s">
        <v>8</v>
      </c>
      <c r="K8" s="3">
        <v>1363159</v>
      </c>
      <c r="L8" s="3" t="s">
        <v>4</v>
      </c>
      <c r="M8" s="3">
        <v>0</v>
      </c>
    </row>
    <row r="9" spans="1:13" x14ac:dyDescent="0.35">
      <c r="A9" t="s">
        <v>68</v>
      </c>
      <c r="B9" s="3">
        <v>68648</v>
      </c>
      <c r="D9" t="s">
        <v>41</v>
      </c>
      <c r="E9" t="s">
        <v>42</v>
      </c>
      <c r="F9" t="s">
        <v>43</v>
      </c>
      <c r="G9" t="s">
        <v>44</v>
      </c>
      <c r="H9" t="s">
        <v>45</v>
      </c>
    </row>
    <row r="10" spans="1:13" x14ac:dyDescent="0.35">
      <c r="A10" t="s">
        <v>69</v>
      </c>
      <c r="B10" s="3">
        <v>68785</v>
      </c>
      <c r="D10" t="s">
        <v>46</v>
      </c>
      <c r="E10" t="s">
        <v>47</v>
      </c>
      <c r="F10" t="s">
        <v>48</v>
      </c>
      <c r="G10" t="s">
        <v>49</v>
      </c>
      <c r="H10" t="s">
        <v>50</v>
      </c>
    </row>
    <row r="11" spans="1:13" x14ac:dyDescent="0.35">
      <c r="A11" t="s">
        <v>70</v>
      </c>
      <c r="D11" t="s">
        <v>51</v>
      </c>
      <c r="E11" t="s">
        <v>52</v>
      </c>
      <c r="F11" t="s">
        <v>53</v>
      </c>
      <c r="G11" t="s">
        <v>54</v>
      </c>
      <c r="H11" t="s">
        <v>55</v>
      </c>
      <c r="J11" t="s">
        <v>142</v>
      </c>
      <c r="K11" t="s">
        <v>156</v>
      </c>
    </row>
    <row r="12" spans="1:13" x14ac:dyDescent="0.35">
      <c r="A12" t="s">
        <v>71</v>
      </c>
      <c r="D12" t="s">
        <v>56</v>
      </c>
      <c r="E12" t="s">
        <v>57</v>
      </c>
      <c r="F12" t="s">
        <v>58</v>
      </c>
      <c r="G12" t="s">
        <v>59</v>
      </c>
      <c r="H12" t="s">
        <v>60</v>
      </c>
      <c r="J12" s="5">
        <v>45658</v>
      </c>
      <c r="K12" t="s">
        <v>154</v>
      </c>
    </row>
    <row r="13" spans="1:13" x14ac:dyDescent="0.35">
      <c r="A13" t="s">
        <v>72</v>
      </c>
      <c r="J13" s="5">
        <v>45690</v>
      </c>
      <c r="K13" t="s">
        <v>155</v>
      </c>
    </row>
    <row r="14" spans="1:13" x14ac:dyDescent="0.35">
      <c r="A14" t="s">
        <v>73</v>
      </c>
      <c r="J14" s="5">
        <v>45798</v>
      </c>
      <c r="K14" t="s">
        <v>157</v>
      </c>
    </row>
    <row r="15" spans="1:13" x14ac:dyDescent="0.35">
      <c r="A15" t="s">
        <v>74</v>
      </c>
    </row>
    <row r="16" spans="1:13" x14ac:dyDescent="0.35">
      <c r="A16" t="s">
        <v>75</v>
      </c>
      <c r="D16" t="s">
        <v>195</v>
      </c>
    </row>
    <row r="17" spans="4:11" x14ac:dyDescent="0.35">
      <c r="D17" t="s">
        <v>196</v>
      </c>
      <c r="G17" t="s">
        <v>178</v>
      </c>
      <c r="H17" s="10" t="s">
        <v>177</v>
      </c>
      <c r="I17" s="11" t="s">
        <v>173</v>
      </c>
      <c r="J17" t="s">
        <v>191</v>
      </c>
      <c r="K17" t="s">
        <v>176</v>
      </c>
    </row>
    <row r="18" spans="4:11" x14ac:dyDescent="0.35">
      <c r="D18" t="s">
        <v>204</v>
      </c>
      <c r="G18" t="s">
        <v>179</v>
      </c>
      <c r="H18" s="12" t="s">
        <v>158</v>
      </c>
      <c r="I18" s="13">
        <v>1</v>
      </c>
      <c r="J18">
        <v>5</v>
      </c>
      <c r="K18" t="s">
        <v>177</v>
      </c>
    </row>
    <row r="19" spans="4:11" x14ac:dyDescent="0.35">
      <c r="H19" s="14" t="s">
        <v>159</v>
      </c>
      <c r="I19" s="15">
        <v>2</v>
      </c>
      <c r="J19">
        <v>5</v>
      </c>
      <c r="K19" t="s">
        <v>178</v>
      </c>
    </row>
    <row r="20" spans="4:11" x14ac:dyDescent="0.35">
      <c r="H20" s="12" t="s">
        <v>160</v>
      </c>
      <c r="I20" s="13">
        <v>3</v>
      </c>
      <c r="J20">
        <v>5</v>
      </c>
    </row>
    <row r="21" spans="4:11" x14ac:dyDescent="0.35">
      <c r="H21" s="14" t="s">
        <v>161</v>
      </c>
      <c r="I21" s="15">
        <v>4</v>
      </c>
      <c r="J21">
        <v>5</v>
      </c>
    </row>
    <row r="22" spans="4:11" x14ac:dyDescent="0.35">
      <c r="H22" s="12" t="s">
        <v>162</v>
      </c>
      <c r="I22" s="13">
        <v>5</v>
      </c>
      <c r="J22">
        <v>5</v>
      </c>
    </row>
    <row r="23" spans="4:11" x14ac:dyDescent="0.35">
      <c r="H23" s="14" t="s">
        <v>163</v>
      </c>
      <c r="I23" s="15">
        <v>6</v>
      </c>
      <c r="J23">
        <v>5</v>
      </c>
    </row>
    <row r="24" spans="4:11" x14ac:dyDescent="0.35">
      <c r="H24" s="12" t="s">
        <v>164</v>
      </c>
      <c r="I24" s="13">
        <v>7</v>
      </c>
      <c r="J24">
        <v>5</v>
      </c>
    </row>
    <row r="25" spans="4:11" x14ac:dyDescent="0.35">
      <c r="H25" s="14" t="s">
        <v>165</v>
      </c>
      <c r="I25" s="15">
        <v>11</v>
      </c>
      <c r="J25">
        <v>6</v>
      </c>
    </row>
    <row r="26" spans="4:11" x14ac:dyDescent="0.35">
      <c r="H26" s="12" t="s">
        <v>166</v>
      </c>
      <c r="I26" s="13">
        <v>12</v>
      </c>
      <c r="J26">
        <v>6</v>
      </c>
    </row>
    <row r="27" spans="4:11" x14ac:dyDescent="0.35">
      <c r="H27" s="14" t="s">
        <v>167</v>
      </c>
      <c r="I27" s="15">
        <v>13</v>
      </c>
      <c r="J27">
        <v>6</v>
      </c>
    </row>
    <row r="28" spans="4:11" x14ac:dyDescent="0.35">
      <c r="H28" s="12" t="s">
        <v>168</v>
      </c>
      <c r="I28" s="13">
        <v>14</v>
      </c>
      <c r="J28">
        <v>6</v>
      </c>
    </row>
    <row r="29" spans="4:11" x14ac:dyDescent="0.35">
      <c r="H29" s="14" t="s">
        <v>169</v>
      </c>
      <c r="I29" s="15">
        <v>15</v>
      </c>
      <c r="J29">
        <v>6</v>
      </c>
    </row>
    <row r="30" spans="4:11" x14ac:dyDescent="0.35">
      <c r="H30" s="12" t="s">
        <v>170</v>
      </c>
      <c r="I30" s="13">
        <v>15</v>
      </c>
      <c r="J30">
        <v>6</v>
      </c>
    </row>
    <row r="31" spans="4:11" x14ac:dyDescent="0.35">
      <c r="H31" s="8" t="s">
        <v>171</v>
      </c>
      <c r="I31" s="9">
        <v>17</v>
      </c>
      <c r="J31">
        <v>6</v>
      </c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0EE6E-AECC-4A54-A5F7-72AA98C83EE4}">
  <sheetPr codeName="Hoja3"/>
  <dimension ref="A1:W68"/>
  <sheetViews>
    <sheetView showGridLines="0" showRowColHeaders="0" topLeftCell="A17" zoomScaleNormal="100" workbookViewId="0">
      <selection activeCell="P8" sqref="P8:V8"/>
    </sheetView>
  </sheetViews>
  <sheetFormatPr baseColWidth="10" defaultColWidth="0" defaultRowHeight="14.5" zeroHeight="1" x14ac:dyDescent="0.35"/>
  <cols>
    <col min="1" max="1" width="6.36328125" customWidth="1"/>
    <col min="2" max="2" width="24.26953125" style="7" customWidth="1"/>
    <col min="3" max="3" width="8.81640625" customWidth="1"/>
    <col min="4" max="7" width="5.453125" customWidth="1"/>
    <col min="8" max="10" width="5.453125" style="7" customWidth="1"/>
    <col min="11" max="11" width="5.7265625" style="7" customWidth="1"/>
    <col min="12" max="12" width="5.7265625" style="7" hidden="1" customWidth="1"/>
    <col min="13" max="18" width="5.7265625" style="7" customWidth="1"/>
    <col min="19" max="19" width="3.54296875" bestFit="1" customWidth="1"/>
    <col min="20" max="20" width="9.7265625" customWidth="1"/>
    <col min="21" max="21" width="9.1796875" customWidth="1"/>
    <col min="22" max="22" width="27.90625" customWidth="1"/>
    <col min="23" max="16384" width="10.90625" hidden="1"/>
  </cols>
  <sheetData>
    <row r="1" spans="1:23" x14ac:dyDescent="0.35">
      <c r="A1" s="22"/>
      <c r="B1" s="23"/>
      <c r="C1" s="22"/>
      <c r="D1" s="22"/>
      <c r="E1" s="22"/>
      <c r="F1" s="22"/>
      <c r="G1" s="22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2"/>
      <c r="T1" s="22"/>
      <c r="U1" s="22"/>
      <c r="V1" s="22"/>
    </row>
    <row r="2" spans="1:23" x14ac:dyDescent="0.35">
      <c r="A2" s="22"/>
      <c r="B2" s="23"/>
      <c r="C2" s="22"/>
      <c r="D2" s="22"/>
      <c r="E2" s="22"/>
      <c r="F2" s="22"/>
      <c r="G2" s="22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2"/>
      <c r="T2" s="22"/>
      <c r="U2" s="22"/>
      <c r="V2" s="22"/>
    </row>
    <row r="3" spans="1:23" ht="21" x14ac:dyDescent="0.5">
      <c r="A3" s="16"/>
      <c r="B3" s="17"/>
      <c r="C3" s="16"/>
      <c r="D3" s="67" t="s">
        <v>205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16"/>
      <c r="U3" s="16"/>
      <c r="V3" s="16"/>
    </row>
    <row r="4" spans="1:23" x14ac:dyDescent="0.35">
      <c r="A4" s="16"/>
      <c r="B4" s="17"/>
      <c r="C4" s="16"/>
      <c r="D4" s="22"/>
      <c r="E4" s="22"/>
      <c r="F4" s="22"/>
      <c r="G4" s="16"/>
      <c r="H4" s="17"/>
      <c r="I4" s="16"/>
      <c r="J4" s="16"/>
      <c r="K4" s="17"/>
      <c r="L4" s="17"/>
      <c r="M4" s="17"/>
      <c r="N4" s="17"/>
      <c r="O4" s="17"/>
      <c r="P4" s="17"/>
      <c r="Q4" s="17"/>
      <c r="R4" s="17"/>
      <c r="S4" s="16"/>
      <c r="T4" s="16"/>
      <c r="U4" s="16"/>
      <c r="V4" s="16"/>
    </row>
    <row r="5" spans="1:23" x14ac:dyDescent="0.35">
      <c r="A5" s="16"/>
      <c r="B5" s="17"/>
      <c r="C5" s="16"/>
      <c r="D5" s="22"/>
      <c r="E5" s="22"/>
      <c r="F5" s="22"/>
      <c r="G5" s="22"/>
      <c r="H5" s="18"/>
      <c r="I5" s="18"/>
      <c r="J5" s="18"/>
      <c r="K5" s="23"/>
      <c r="L5" s="17"/>
      <c r="M5" s="17"/>
      <c r="N5" s="23"/>
      <c r="O5" s="23"/>
      <c r="P5" s="57" t="s">
        <v>142</v>
      </c>
      <c r="Q5" s="80">
        <f ca="1">TODAY()</f>
        <v>45789</v>
      </c>
      <c r="R5" s="80"/>
      <c r="S5" s="16"/>
      <c r="T5" s="16"/>
      <c r="U5" s="16"/>
      <c r="V5" s="16"/>
    </row>
    <row r="6" spans="1:23" ht="15" thickBot="1" x14ac:dyDescent="0.4">
      <c r="A6" s="16"/>
      <c r="B6" s="17"/>
      <c r="C6" s="16"/>
      <c r="D6" s="16"/>
      <c r="E6" s="16"/>
      <c r="F6" s="16"/>
      <c r="G6" s="16"/>
      <c r="H6" s="17"/>
      <c r="I6" s="17"/>
      <c r="J6" s="17"/>
      <c r="K6" s="17"/>
      <c r="L6" s="17"/>
      <c r="M6" s="23"/>
      <c r="N6" s="23"/>
      <c r="O6" s="23"/>
      <c r="P6" s="23"/>
      <c r="Q6" s="23"/>
      <c r="R6" s="23"/>
      <c r="S6" s="16"/>
      <c r="T6" s="16"/>
      <c r="U6" s="16"/>
      <c r="V6" s="16"/>
    </row>
    <row r="7" spans="1:23" ht="14.5" customHeight="1" x14ac:dyDescent="0.35">
      <c r="A7" s="22"/>
      <c r="B7" s="23"/>
      <c r="C7" s="22"/>
      <c r="D7" s="71" t="s">
        <v>188</v>
      </c>
      <c r="E7" s="72"/>
      <c r="F7" s="72"/>
      <c r="G7" s="72" t="s">
        <v>79</v>
      </c>
      <c r="H7" s="72"/>
      <c r="I7" s="72"/>
      <c r="J7" s="75"/>
      <c r="K7" s="21"/>
      <c r="L7" s="21"/>
      <c r="M7" s="23"/>
      <c r="N7" s="23"/>
      <c r="O7" s="23"/>
      <c r="P7" s="23"/>
      <c r="Q7" s="23"/>
      <c r="R7" s="23"/>
      <c r="S7" s="16"/>
      <c r="T7" s="16"/>
      <c r="U7" s="16"/>
      <c r="V7" s="16"/>
    </row>
    <row r="8" spans="1:23" ht="14.5" customHeight="1" thickBot="1" x14ac:dyDescent="0.4">
      <c r="A8" s="22"/>
      <c r="B8" s="23"/>
      <c r="C8" s="22"/>
      <c r="D8" s="73"/>
      <c r="E8" s="74"/>
      <c r="F8" s="74"/>
      <c r="G8" s="74"/>
      <c r="H8" s="74"/>
      <c r="I8" s="74"/>
      <c r="J8" s="76"/>
      <c r="K8" s="17"/>
      <c r="L8" s="17"/>
      <c r="M8" s="70" t="s">
        <v>202</v>
      </c>
      <c r="N8" s="70"/>
      <c r="O8" s="70"/>
      <c r="P8" s="68">
        <f>IF(M33=K33,30,IF(M33&lt;K33,30-N33,"⚠️ ¡Exedio el numero de dias Mensuales!"))</f>
        <v>25</v>
      </c>
      <c r="Q8" s="68"/>
      <c r="R8" s="68"/>
      <c r="S8" s="68"/>
      <c r="T8" s="68"/>
      <c r="U8" s="68"/>
      <c r="V8" s="68"/>
      <c r="W8" s="16"/>
    </row>
    <row r="9" spans="1:23" ht="15.5" x14ac:dyDescent="0.35">
      <c r="A9" s="16"/>
      <c r="B9" s="17"/>
      <c r="C9" s="16"/>
      <c r="D9" s="16"/>
      <c r="E9" s="16"/>
      <c r="F9" s="16"/>
      <c r="G9" s="16"/>
      <c r="H9" s="17"/>
      <c r="I9" s="17"/>
      <c r="J9" s="17"/>
      <c r="K9" s="17"/>
      <c r="L9" s="17"/>
      <c r="M9" s="17"/>
      <c r="N9" s="17"/>
      <c r="O9" s="21"/>
      <c r="P9" s="59"/>
      <c r="Q9" s="59"/>
      <c r="R9" s="59"/>
      <c r="S9" s="59"/>
      <c r="T9" s="59"/>
      <c r="U9" s="59"/>
      <c r="V9" s="59"/>
      <c r="W9" s="16"/>
    </row>
    <row r="10" spans="1:23" ht="19" thickBot="1" x14ac:dyDescent="0.4">
      <c r="A10" s="16"/>
      <c r="B10" s="17"/>
      <c r="C10" s="16"/>
      <c r="D10" s="16"/>
      <c r="E10" s="16"/>
      <c r="F10" s="16"/>
      <c r="G10" s="16"/>
      <c r="H10" s="17"/>
      <c r="I10" s="17"/>
      <c r="J10" s="17"/>
      <c r="K10" s="23"/>
      <c r="L10" s="70" t="s">
        <v>203</v>
      </c>
      <c r="M10" s="70"/>
      <c r="N10" s="70"/>
      <c r="O10" s="70"/>
      <c r="P10" s="69">
        <f>IF(P33&lt;=O33,P33+Q33-R33,"👁️‍🗨️ ¡Revise los dias!")</f>
        <v>154.00000000000003</v>
      </c>
      <c r="Q10" s="69"/>
      <c r="R10" s="69"/>
      <c r="S10" s="69"/>
      <c r="T10" s="69"/>
      <c r="U10" s="69"/>
      <c r="V10" s="69"/>
      <c r="W10" s="19"/>
    </row>
    <row r="11" spans="1:23" ht="14.5" hidden="1" customHeight="1" x14ac:dyDescent="0.35">
      <c r="A11" s="16"/>
      <c r="B11" s="17"/>
      <c r="C11" s="16"/>
      <c r="D11" s="16"/>
      <c r="E11" s="16"/>
      <c r="F11" s="16"/>
      <c r="G11" s="16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6"/>
      <c r="T11" s="16"/>
      <c r="U11" s="17"/>
      <c r="V11" s="16"/>
      <c r="W11" s="17"/>
    </row>
    <row r="12" spans="1:23" ht="14.5" customHeight="1" x14ac:dyDescent="0.35">
      <c r="A12" s="16"/>
      <c r="B12" s="17"/>
      <c r="C12" s="16"/>
      <c r="D12" s="81" t="s">
        <v>19</v>
      </c>
      <c r="E12" s="82"/>
      <c r="F12" s="84">
        <v>2025</v>
      </c>
      <c r="G12" s="84"/>
      <c r="H12" s="84"/>
      <c r="I12" s="82" t="s">
        <v>0</v>
      </c>
      <c r="J12" s="85"/>
      <c r="K12" s="30"/>
      <c r="L12" s="30"/>
      <c r="M12" s="30"/>
      <c r="N12" s="30"/>
      <c r="O12" s="17"/>
      <c r="P12" s="17"/>
      <c r="Q12" s="17"/>
      <c r="R12" s="17"/>
      <c r="S12" s="16"/>
      <c r="T12" s="16"/>
      <c r="U12" s="26"/>
      <c r="V12" s="16"/>
      <c r="W12" s="27"/>
    </row>
    <row r="13" spans="1:23" ht="14.5" customHeight="1" x14ac:dyDescent="0.35">
      <c r="A13" s="16"/>
      <c r="B13" s="17"/>
      <c r="C13" s="16"/>
      <c r="D13" s="83">
        <f>DATE(F12, MATCH(F13, {"Enero";"Febrero";"Marzo";"Abril";"Mayo";"Junio";"Julio";"Agosto";"Septiembre";"Octubre";"Noviembre";"Diciembre"}, 0), 1)</f>
        <v>45901</v>
      </c>
      <c r="E13" s="80"/>
      <c r="F13" s="80" t="s">
        <v>72</v>
      </c>
      <c r="G13" s="80"/>
      <c r="H13" s="80"/>
      <c r="I13" s="80">
        <f>EOMONTH(D13,12)</f>
        <v>46295</v>
      </c>
      <c r="J13" s="86"/>
      <c r="K13" s="88" t="s">
        <v>152</v>
      </c>
      <c r="L13" s="88"/>
      <c r="M13" s="88"/>
      <c r="N13" s="88"/>
      <c r="O13" s="87" t="s">
        <v>186</v>
      </c>
      <c r="P13" s="87"/>
      <c r="Q13" s="87"/>
      <c r="R13" s="87"/>
      <c r="S13" s="16"/>
      <c r="T13" s="16"/>
      <c r="U13" s="16"/>
      <c r="V13" s="22"/>
    </row>
    <row r="14" spans="1:23" ht="15" thickBot="1" x14ac:dyDescent="0.4">
      <c r="A14" s="16"/>
      <c r="B14" s="17"/>
      <c r="C14" s="16"/>
      <c r="D14" s="48" t="s">
        <v>144</v>
      </c>
      <c r="E14" s="49" t="s">
        <v>145</v>
      </c>
      <c r="F14" s="49" t="s">
        <v>146</v>
      </c>
      <c r="G14" s="49" t="s">
        <v>147</v>
      </c>
      <c r="H14" s="49" t="s">
        <v>148</v>
      </c>
      <c r="I14" s="49" t="s">
        <v>149</v>
      </c>
      <c r="J14" s="50" t="s">
        <v>150</v>
      </c>
      <c r="K14" s="51" t="s">
        <v>181</v>
      </c>
      <c r="L14" s="52" t="s">
        <v>182</v>
      </c>
      <c r="M14" s="52" t="s">
        <v>183</v>
      </c>
      <c r="N14" s="52" t="s">
        <v>184</v>
      </c>
      <c r="O14" s="53" t="s">
        <v>181</v>
      </c>
      <c r="P14" s="54" t="s">
        <v>183</v>
      </c>
      <c r="Q14" s="55" t="s">
        <v>185</v>
      </c>
      <c r="R14" s="53" t="s">
        <v>184</v>
      </c>
      <c r="S14" s="16"/>
      <c r="T14" s="16"/>
      <c r="U14" s="16"/>
      <c r="V14" s="22"/>
    </row>
    <row r="15" spans="1:23" hidden="1" x14ac:dyDescent="0.35">
      <c r="A15" s="16"/>
      <c r="B15" s="17"/>
      <c r="C15" s="16"/>
      <c r="D15" s="33" cm="1">
        <f t="array" ref="D15:J15">_xlfn.SEQUENCE(1,7,DATEVALUE(F13&amp;F12)-WEEKDAY(DATEVALUE(F13&amp;F12))+2)</f>
        <v>45901</v>
      </c>
      <c r="E15" s="31">
        <v>45902</v>
      </c>
      <c r="F15" s="31">
        <v>45903</v>
      </c>
      <c r="G15" s="31">
        <v>45904</v>
      </c>
      <c r="H15" s="31">
        <v>45905</v>
      </c>
      <c r="I15" s="31">
        <v>45906</v>
      </c>
      <c r="J15" s="34">
        <v>45907</v>
      </c>
      <c r="K15" s="35"/>
      <c r="L15" s="17"/>
      <c r="M15" s="17"/>
      <c r="N15" s="17"/>
      <c r="O15" s="36"/>
      <c r="P15" s="35"/>
      <c r="Q15" s="17"/>
      <c r="R15" s="36"/>
      <c r="S15" s="16"/>
      <c r="T15" s="16"/>
      <c r="U15" s="16"/>
      <c r="V15" s="22"/>
    </row>
    <row r="16" spans="1:23" ht="15" thickTop="1" x14ac:dyDescent="0.35">
      <c r="A16" s="16"/>
      <c r="B16" s="56" t="s">
        <v>195</v>
      </c>
      <c r="C16" s="16"/>
      <c r="D16" s="35">
        <f>DAY(D15)</f>
        <v>1</v>
      </c>
      <c r="E16" s="17">
        <f t="shared" ref="E16:J16" si="0">DAY(E15)</f>
        <v>2</v>
      </c>
      <c r="F16" s="17">
        <f t="shared" si="0"/>
        <v>3</v>
      </c>
      <c r="G16" s="17">
        <f t="shared" si="0"/>
        <v>4</v>
      </c>
      <c r="H16" s="17">
        <f t="shared" si="0"/>
        <v>5</v>
      </c>
      <c r="I16" s="17">
        <f t="shared" si="0"/>
        <v>6</v>
      </c>
      <c r="J16" s="36">
        <f t="shared" si="0"/>
        <v>7</v>
      </c>
      <c r="K16" s="35"/>
      <c r="L16" s="17"/>
      <c r="M16" s="17"/>
      <c r="N16" s="17"/>
      <c r="O16" s="36"/>
      <c r="P16" s="35"/>
      <c r="Q16" s="17"/>
      <c r="R16" s="36"/>
      <c r="S16" s="28"/>
      <c r="T16" s="16"/>
      <c r="U16" s="16"/>
      <c r="V16" s="22"/>
    </row>
    <row r="17" spans="1:22" x14ac:dyDescent="0.35">
      <c r="A17" s="16"/>
      <c r="B17" s="17" t="s">
        <v>204</v>
      </c>
      <c r="C17" s="16"/>
      <c r="D17" s="37" t="b">
        <v>1</v>
      </c>
      <c r="E17" s="32" t="b">
        <v>1</v>
      </c>
      <c r="F17" s="32" t="b">
        <v>1</v>
      </c>
      <c r="G17" s="32" t="b">
        <v>1</v>
      </c>
      <c r="H17" s="32" t="b">
        <v>0</v>
      </c>
      <c r="I17" s="32" t="b">
        <v>0</v>
      </c>
      <c r="J17" s="38" t="b">
        <v>0</v>
      </c>
      <c r="K17" s="35">
        <f>IF(NETWORKDAYS.INTL($D$13,J15,$P$39,Tabla5[Fecha])&gt;L17,L17,NETWORKDAYS.INTL(D13,J15,$P$39,Tabla5[Fecha]))</f>
        <v>6</v>
      </c>
      <c r="L17" s="25" cm="1">
        <f t="array" ref="L17">SUMPRODUCT(--(TEXT(D15:J15,"mmmm")=$F$13))</f>
        <v>7</v>
      </c>
      <c r="M17" s="17">
        <f>COUNTIF(D17:J17,"VERDADERO")</f>
        <v>4</v>
      </c>
      <c r="N17" s="17">
        <f>IF(K17&gt;M17,K17-M17,0)</f>
        <v>2</v>
      </c>
      <c r="O17" s="36">
        <f>($H$39/$H$38)*K17</f>
        <v>40</v>
      </c>
      <c r="P17" s="35">
        <f>($H$39/$H$38)*M17</f>
        <v>26.666666666666668</v>
      </c>
      <c r="Q17" s="17">
        <v>5</v>
      </c>
      <c r="R17" s="36"/>
      <c r="S17" s="28" t="str">
        <f>IF(K17=M17, "✔️", IF(M17&gt;K17, "⚠️ ¡Seleccionó más fuera de los días laborales!", "Días Auscente"))</f>
        <v>Días Auscente</v>
      </c>
      <c r="T17" s="16"/>
      <c r="U17" s="16"/>
      <c r="V17" s="22"/>
    </row>
    <row r="18" spans="1:22" ht="14.5" hidden="1" customHeight="1" x14ac:dyDescent="0.35">
      <c r="A18" s="16"/>
      <c r="B18" s="17"/>
      <c r="C18" s="16"/>
      <c r="D18" s="39">
        <f>J15+1</f>
        <v>45908</v>
      </c>
      <c r="E18" s="21">
        <f>D18+1</f>
        <v>45909</v>
      </c>
      <c r="F18" s="21">
        <f t="shared" ref="F18:J18" si="1">E18+1</f>
        <v>45910</v>
      </c>
      <c r="G18" s="21">
        <f t="shared" si="1"/>
        <v>45911</v>
      </c>
      <c r="H18" s="21">
        <f t="shared" si="1"/>
        <v>45912</v>
      </c>
      <c r="I18" s="21">
        <f t="shared" si="1"/>
        <v>45913</v>
      </c>
      <c r="J18" s="40">
        <f t="shared" si="1"/>
        <v>45914</v>
      </c>
      <c r="K18" s="35"/>
      <c r="L18" s="17"/>
      <c r="M18" s="17"/>
      <c r="N18" s="17">
        <f t="shared" ref="N18:N32" si="2">IF(K18&gt;M18,K18-M18,0)</f>
        <v>0</v>
      </c>
      <c r="O18" s="36">
        <f t="shared" ref="O18:O32" si="3">($H$39/$H$38)*K18</f>
        <v>0</v>
      </c>
      <c r="P18" s="35">
        <f t="shared" ref="P18:P32" si="4">($H$39/$H$38)*M18</f>
        <v>0</v>
      </c>
      <c r="Q18" s="17"/>
      <c r="R18" s="36"/>
      <c r="S18" s="28" t="str">
        <f>IF(K18=M18, "✔️", IF(M18&gt;K18, "⚠️ ¡Seleccionó más fuera de los días laborales!", "Días Auscente"))</f>
        <v>✔️</v>
      </c>
      <c r="T18" s="16"/>
      <c r="U18" s="16"/>
      <c r="V18" s="22"/>
    </row>
    <row r="19" spans="1:22" x14ac:dyDescent="0.35">
      <c r="A19" s="16"/>
      <c r="B19" s="17"/>
      <c r="C19" s="16"/>
      <c r="D19" s="35">
        <f>DAY(D18)</f>
        <v>8</v>
      </c>
      <c r="E19" s="17">
        <f t="shared" ref="E19:J19" si="5">DAY(E18)</f>
        <v>9</v>
      </c>
      <c r="F19" s="17">
        <f t="shared" si="5"/>
        <v>10</v>
      </c>
      <c r="G19" s="17">
        <f t="shared" si="5"/>
        <v>11</v>
      </c>
      <c r="H19" s="17">
        <f t="shared" si="5"/>
        <v>12</v>
      </c>
      <c r="I19" s="17">
        <f t="shared" si="5"/>
        <v>13</v>
      </c>
      <c r="J19" s="36">
        <f t="shared" si="5"/>
        <v>14</v>
      </c>
      <c r="K19" s="35"/>
      <c r="L19" s="17"/>
      <c r="M19" s="17"/>
      <c r="N19" s="17"/>
      <c r="O19" s="36"/>
      <c r="P19" s="35"/>
      <c r="Q19" s="17"/>
      <c r="R19" s="36"/>
      <c r="S19" s="28"/>
      <c r="T19" s="16"/>
      <c r="U19" s="16"/>
      <c r="V19" s="22"/>
    </row>
    <row r="20" spans="1:22" x14ac:dyDescent="0.35">
      <c r="A20" s="16"/>
      <c r="B20" s="56" t="s">
        <v>19</v>
      </c>
      <c r="C20" s="16"/>
      <c r="D20" s="37" t="b">
        <v>1</v>
      </c>
      <c r="E20" s="32" t="b">
        <v>1</v>
      </c>
      <c r="F20" s="32" t="b">
        <v>1</v>
      </c>
      <c r="G20" s="32" t="b">
        <v>1</v>
      </c>
      <c r="H20" s="32" t="b">
        <v>1</v>
      </c>
      <c r="I20" s="32" t="b">
        <v>0</v>
      </c>
      <c r="J20" s="38" t="b">
        <v>0</v>
      </c>
      <c r="K20" s="35">
        <f>IF(NETWORKDAYS.INTL(D18,J18,$P$39,Tabla5[Fecha])&gt;L20,L20,NETWORKDAYS.INTL(D18,J18,$P$39,Tabla5[Fecha]))</f>
        <v>6</v>
      </c>
      <c r="L20" s="17" cm="1">
        <f t="array" ref="L20">SUMPRODUCT(--(TEXT(D18:J18,"mmmm")=$F$13))</f>
        <v>7</v>
      </c>
      <c r="M20" s="17">
        <f>COUNTIF(D20:J20,"VERDADERO")</f>
        <v>5</v>
      </c>
      <c r="N20" s="17">
        <f t="shared" si="2"/>
        <v>1</v>
      </c>
      <c r="O20" s="36">
        <f t="shared" si="3"/>
        <v>40</v>
      </c>
      <c r="P20" s="35">
        <f t="shared" si="4"/>
        <v>33.333333333333336</v>
      </c>
      <c r="Q20" s="17">
        <v>5</v>
      </c>
      <c r="R20" s="36"/>
      <c r="S20" s="28" t="str">
        <f>IF(K20=M20, "✔️", IF(M20&gt;K20, "⚠️ ¡Seleccionó más fuera de los días laborales!", "Días Auscente"))</f>
        <v>Días Auscente</v>
      </c>
      <c r="T20" s="16"/>
      <c r="U20" s="16"/>
      <c r="V20" s="22"/>
    </row>
    <row r="21" spans="1:22" ht="14.5" hidden="1" customHeight="1" x14ac:dyDescent="0.35">
      <c r="A21" s="16"/>
      <c r="B21" s="21">
        <v>45736</v>
      </c>
      <c r="C21" s="16"/>
      <c r="D21" s="39">
        <f>J18+1</f>
        <v>45915</v>
      </c>
      <c r="E21" s="21">
        <f>D21+1</f>
        <v>45916</v>
      </c>
      <c r="F21" s="21">
        <f t="shared" ref="F21:J21" si="6">E21+1</f>
        <v>45917</v>
      </c>
      <c r="G21" s="21">
        <f t="shared" si="6"/>
        <v>45918</v>
      </c>
      <c r="H21" s="21">
        <f t="shared" si="6"/>
        <v>45919</v>
      </c>
      <c r="I21" s="21">
        <f t="shared" si="6"/>
        <v>45920</v>
      </c>
      <c r="J21" s="40">
        <f t="shared" si="6"/>
        <v>45921</v>
      </c>
      <c r="K21" s="35"/>
      <c r="L21" s="17"/>
      <c r="M21" s="17"/>
      <c r="N21" s="17">
        <f t="shared" si="2"/>
        <v>0</v>
      </c>
      <c r="O21" s="36">
        <f t="shared" si="3"/>
        <v>0</v>
      </c>
      <c r="P21" s="35">
        <f t="shared" si="4"/>
        <v>0</v>
      </c>
      <c r="Q21" s="17"/>
      <c r="R21" s="36"/>
      <c r="S21" s="28" t="str">
        <f>IF(K21=M21, "✔️", IF(M21&gt;K21, "⚠️ ¡Seleccionó más fuera de los días laborales!", "Días Auscente"))</f>
        <v>✔️</v>
      </c>
      <c r="T21" s="16"/>
      <c r="U21" s="16"/>
      <c r="V21" s="22"/>
    </row>
    <row r="22" spans="1:22" x14ac:dyDescent="0.35">
      <c r="A22" s="16"/>
      <c r="B22" s="21">
        <v>45736</v>
      </c>
      <c r="C22" s="16"/>
      <c r="D22" s="35">
        <f>DAY(D21)</f>
        <v>15</v>
      </c>
      <c r="E22" s="17">
        <f t="shared" ref="E22:J22" si="7">DAY(E21)</f>
        <v>16</v>
      </c>
      <c r="F22" s="17">
        <f t="shared" si="7"/>
        <v>17</v>
      </c>
      <c r="G22" s="17">
        <f t="shared" si="7"/>
        <v>18</v>
      </c>
      <c r="H22" s="17">
        <f t="shared" si="7"/>
        <v>19</v>
      </c>
      <c r="I22" s="17">
        <f t="shared" si="7"/>
        <v>20</v>
      </c>
      <c r="J22" s="36">
        <f t="shared" si="7"/>
        <v>21</v>
      </c>
      <c r="K22" s="35"/>
      <c r="L22" s="17"/>
      <c r="M22" s="17"/>
      <c r="N22" s="17"/>
      <c r="O22" s="36"/>
      <c r="P22" s="35"/>
      <c r="Q22" s="17"/>
      <c r="R22" s="36"/>
      <c r="S22" s="28"/>
      <c r="T22" s="16"/>
      <c r="U22" s="16"/>
      <c r="V22" s="22"/>
    </row>
    <row r="23" spans="1:22" x14ac:dyDescent="0.35">
      <c r="A23" s="16"/>
      <c r="B23" s="17"/>
      <c r="C23" s="16"/>
      <c r="D23" s="37" t="b">
        <v>1</v>
      </c>
      <c r="E23" s="32" t="b">
        <v>1</v>
      </c>
      <c r="F23" s="32" t="b">
        <v>1</v>
      </c>
      <c r="G23" s="32" t="b">
        <v>1</v>
      </c>
      <c r="H23" s="32" t="b">
        <v>1</v>
      </c>
      <c r="I23" s="32" t="b">
        <v>0</v>
      </c>
      <c r="J23" s="38" t="b">
        <v>0</v>
      </c>
      <c r="K23" s="35">
        <f>IF(NETWORKDAYS.INTL(D21,J21,$P$39,Tabla5[Fecha])&gt;L23,L23,NETWORKDAYS.INTL(D21,J21,$P$39,Tabla5[Fecha]))</f>
        <v>6</v>
      </c>
      <c r="L23" s="17" cm="1">
        <f t="array" ref="L23">SUMPRODUCT(--(TEXT(D21:J21,"mmmm")=$F$13))</f>
        <v>7</v>
      </c>
      <c r="M23" s="17">
        <f>COUNTIF(D23:J23,"VERDADERO")</f>
        <v>5</v>
      </c>
      <c r="N23" s="17">
        <f t="shared" si="2"/>
        <v>1</v>
      </c>
      <c r="O23" s="36">
        <f t="shared" si="3"/>
        <v>40</v>
      </c>
      <c r="P23" s="35">
        <f t="shared" si="4"/>
        <v>33.333333333333336</v>
      </c>
      <c r="Q23" s="17">
        <v>4</v>
      </c>
      <c r="R23" s="36"/>
      <c r="S23" s="28" t="str">
        <f>IF(K23=M23, "✔️", IF(M23&gt;K23, "⚠️ ¡Seleccionó más fuera de los días laborales!", "Días Auscente"))</f>
        <v>Días Auscente</v>
      </c>
      <c r="T23" s="19"/>
      <c r="U23" s="16"/>
      <c r="V23" s="22"/>
    </row>
    <row r="24" spans="1:22" ht="14.5" hidden="1" customHeight="1" x14ac:dyDescent="0.35">
      <c r="A24" s="16"/>
      <c r="B24" s="17" t="s">
        <v>0</v>
      </c>
      <c r="C24" s="16"/>
      <c r="D24" s="39">
        <f>J21+1</f>
        <v>45922</v>
      </c>
      <c r="E24" s="21">
        <f>D24+1</f>
        <v>45923</v>
      </c>
      <c r="F24" s="21">
        <f t="shared" ref="F24:J24" si="8">E24+1</f>
        <v>45924</v>
      </c>
      <c r="G24" s="21">
        <f t="shared" si="8"/>
        <v>45925</v>
      </c>
      <c r="H24" s="21">
        <f t="shared" si="8"/>
        <v>45926</v>
      </c>
      <c r="I24" s="21">
        <f t="shared" si="8"/>
        <v>45927</v>
      </c>
      <c r="J24" s="40">
        <f t="shared" si="8"/>
        <v>45928</v>
      </c>
      <c r="K24" s="35"/>
      <c r="L24" s="17"/>
      <c r="M24" s="17"/>
      <c r="N24" s="17">
        <f t="shared" si="2"/>
        <v>0</v>
      </c>
      <c r="O24" s="36">
        <f t="shared" si="3"/>
        <v>0</v>
      </c>
      <c r="P24" s="35">
        <f t="shared" si="4"/>
        <v>0</v>
      </c>
      <c r="Q24" s="17"/>
      <c r="R24" s="36"/>
      <c r="S24" s="28" t="str">
        <f>IF(K24=M24, "✔️", IF(M24&gt;K24, "⚠️ ¡Seleccionó más fuera de los días laborales!", "Días Auscente"))</f>
        <v>✔️</v>
      </c>
      <c r="T24" s="16"/>
      <c r="U24" s="16"/>
      <c r="V24" s="22"/>
    </row>
    <row r="25" spans="1:22" x14ac:dyDescent="0.35">
      <c r="A25" s="16"/>
      <c r="B25" s="56" t="s">
        <v>0</v>
      </c>
      <c r="C25" s="16"/>
      <c r="D25" s="35">
        <f>DAY(D24)</f>
        <v>22</v>
      </c>
      <c r="E25" s="17">
        <f t="shared" ref="E25:J25" si="9">DAY(E24)</f>
        <v>23</v>
      </c>
      <c r="F25" s="17">
        <f t="shared" si="9"/>
        <v>24</v>
      </c>
      <c r="G25" s="17">
        <f t="shared" si="9"/>
        <v>25</v>
      </c>
      <c r="H25" s="17">
        <f t="shared" si="9"/>
        <v>26</v>
      </c>
      <c r="I25" s="17">
        <f t="shared" si="9"/>
        <v>27</v>
      </c>
      <c r="J25" s="36">
        <f t="shared" si="9"/>
        <v>28</v>
      </c>
      <c r="K25" s="35"/>
      <c r="L25" s="17"/>
      <c r="M25" s="17"/>
      <c r="N25" s="17"/>
      <c r="O25" s="36"/>
      <c r="P25" s="35"/>
      <c r="Q25" s="17"/>
      <c r="R25" s="36"/>
      <c r="S25" s="28"/>
      <c r="T25" s="16"/>
      <c r="U25" s="16"/>
      <c r="V25" s="22"/>
    </row>
    <row r="26" spans="1:22" x14ac:dyDescent="0.35">
      <c r="A26" s="16"/>
      <c r="B26" s="21">
        <v>45743</v>
      </c>
      <c r="C26" s="16"/>
      <c r="D26" s="37" t="b">
        <v>1</v>
      </c>
      <c r="E26" s="32" t="b">
        <v>1</v>
      </c>
      <c r="F26" s="32" t="b">
        <v>1</v>
      </c>
      <c r="G26" s="32" t="b">
        <v>1</v>
      </c>
      <c r="H26" s="32" t="b">
        <v>1</v>
      </c>
      <c r="I26" s="32" t="b">
        <v>0</v>
      </c>
      <c r="J26" s="38" t="b">
        <v>0</v>
      </c>
      <c r="K26" s="35">
        <f>IF(NETWORKDAYS.INTL(D24,J24,$P$39,Tabla5[Fecha])&gt;L26,L26,NETWORKDAYS.INTL(D24,J24,$P$39,Tabla5[Fecha]))</f>
        <v>6</v>
      </c>
      <c r="L26" s="25" cm="1">
        <f t="array" ref="L26">SUMPRODUCT(--(TEXT(D24:J24,"mmmm")=$F$13))</f>
        <v>7</v>
      </c>
      <c r="M26" s="17">
        <f>COUNTIF(D26:J26,"VERDADERO")</f>
        <v>5</v>
      </c>
      <c r="N26" s="17">
        <f t="shared" si="2"/>
        <v>1</v>
      </c>
      <c r="O26" s="36">
        <f t="shared" si="3"/>
        <v>40</v>
      </c>
      <c r="P26" s="35">
        <f t="shared" si="4"/>
        <v>33.333333333333336</v>
      </c>
      <c r="Q26" s="17">
        <v>5</v>
      </c>
      <c r="R26" s="36"/>
      <c r="S26" s="28" t="str">
        <f>IF(K26=M26, "✔️", IF(M26&gt;K26, "⚠️ ¡Seleccionó más fuera de los días laborales!", "Días Auscente"))</f>
        <v>Días Auscente</v>
      </c>
      <c r="T26" s="16"/>
      <c r="U26" s="16"/>
      <c r="V26" s="22"/>
    </row>
    <row r="27" spans="1:22" ht="14.5" hidden="1" customHeight="1" x14ac:dyDescent="0.35">
      <c r="A27" s="16"/>
      <c r="B27" s="17"/>
      <c r="C27" s="16"/>
      <c r="D27" s="39">
        <f>J24+1</f>
        <v>45929</v>
      </c>
      <c r="E27" s="21">
        <f>+D27+1</f>
        <v>45930</v>
      </c>
      <c r="F27" s="21">
        <f t="shared" ref="F27:J27" si="10">+E27+1</f>
        <v>45931</v>
      </c>
      <c r="G27" s="21">
        <f t="shared" si="10"/>
        <v>45932</v>
      </c>
      <c r="H27" s="21">
        <f t="shared" si="10"/>
        <v>45933</v>
      </c>
      <c r="I27" s="21">
        <f t="shared" si="10"/>
        <v>45934</v>
      </c>
      <c r="J27" s="40">
        <f t="shared" si="10"/>
        <v>45935</v>
      </c>
      <c r="K27" s="35"/>
      <c r="L27" s="17"/>
      <c r="M27" s="17"/>
      <c r="N27" s="17">
        <f t="shared" si="2"/>
        <v>0</v>
      </c>
      <c r="O27" s="36">
        <f t="shared" si="3"/>
        <v>0</v>
      </c>
      <c r="P27" s="35">
        <f t="shared" si="4"/>
        <v>0</v>
      </c>
      <c r="Q27" s="17"/>
      <c r="R27" s="36"/>
      <c r="S27" s="28" t="str">
        <f>IF(K27=M27, "✔️", IF(M27&gt;K27, "⚠️ ¡Seleccionó más fuera de los días laborales!", "Días Auscente"))</f>
        <v>✔️</v>
      </c>
      <c r="T27" s="16"/>
      <c r="U27" s="16"/>
      <c r="V27" s="16"/>
    </row>
    <row r="28" spans="1:22" x14ac:dyDescent="0.35">
      <c r="A28" s="16"/>
      <c r="B28" s="17"/>
      <c r="C28" s="16"/>
      <c r="D28" s="35">
        <f>DAY(D27)</f>
        <v>29</v>
      </c>
      <c r="E28" s="17">
        <f t="shared" ref="E28:J28" si="11">DAY(E27)</f>
        <v>30</v>
      </c>
      <c r="F28" s="17">
        <f t="shared" si="11"/>
        <v>1</v>
      </c>
      <c r="G28" s="17">
        <f t="shared" si="11"/>
        <v>2</v>
      </c>
      <c r="H28" s="17">
        <f t="shared" si="11"/>
        <v>3</v>
      </c>
      <c r="I28" s="17">
        <f t="shared" si="11"/>
        <v>4</v>
      </c>
      <c r="J28" s="36">
        <f t="shared" si="11"/>
        <v>5</v>
      </c>
      <c r="K28" s="35"/>
      <c r="L28" s="17"/>
      <c r="M28" s="17"/>
      <c r="N28" s="17"/>
      <c r="O28" s="36"/>
      <c r="P28" s="35"/>
      <c r="Q28" s="17"/>
      <c r="R28" s="36"/>
      <c r="S28" s="28"/>
      <c r="T28" s="16"/>
      <c r="U28" s="16"/>
      <c r="V28" s="16"/>
    </row>
    <row r="29" spans="1:22" x14ac:dyDescent="0.35">
      <c r="A29" s="16"/>
      <c r="B29" s="56" t="s">
        <v>201</v>
      </c>
      <c r="C29" s="16"/>
      <c r="D29" s="37" t="b">
        <v>1</v>
      </c>
      <c r="E29" s="32" t="b">
        <v>1</v>
      </c>
      <c r="F29" s="32" t="b">
        <v>0</v>
      </c>
      <c r="G29" s="32" t="b">
        <v>0</v>
      </c>
      <c r="H29" s="32" t="b">
        <v>0</v>
      </c>
      <c r="I29" s="32" t="b">
        <v>0</v>
      </c>
      <c r="J29" s="38" t="b">
        <v>0</v>
      </c>
      <c r="K29" s="35">
        <f>IF(NETWORKDAYS.INTL(D27,J27,$P$39,Tabla5[Fecha])&gt;L29,L29,NETWORKDAYS.INTL(D27,J27,$P$39,Tabla5[Fecha]))</f>
        <v>2</v>
      </c>
      <c r="L29" s="25" cm="1">
        <f t="array" ref="L29">SUMPRODUCT(--(TEXT(D27:J27,"mmmm")=$F$13))</f>
        <v>2</v>
      </c>
      <c r="M29" s="17">
        <f>COUNTIF(D29:J29,"VERDADERO")</f>
        <v>2</v>
      </c>
      <c r="N29" s="17">
        <f t="shared" si="2"/>
        <v>0</v>
      </c>
      <c r="O29" s="36">
        <f t="shared" si="3"/>
        <v>13.333333333333334</v>
      </c>
      <c r="P29" s="35">
        <f t="shared" si="4"/>
        <v>13.333333333333334</v>
      </c>
      <c r="Q29" s="17"/>
      <c r="R29" s="36">
        <v>5</v>
      </c>
      <c r="S29" s="28" t="str">
        <f>IF(K29=M29, "✔️", IF(M29&gt;K29, "⚠️ ¡Seleccionó más fuera de los días laborales!", "Días Auscente"))</f>
        <v>✔️</v>
      </c>
      <c r="T29" s="16"/>
      <c r="U29" s="16"/>
      <c r="V29" s="16"/>
    </row>
    <row r="30" spans="1:22" ht="14.5" hidden="1" customHeight="1" x14ac:dyDescent="0.35">
      <c r="A30" s="16"/>
      <c r="B30" s="17"/>
      <c r="C30" s="16"/>
      <c r="D30" s="39">
        <f>J27+1</f>
        <v>45936</v>
      </c>
      <c r="E30" s="21">
        <f>D30+1</f>
        <v>45937</v>
      </c>
      <c r="F30" s="21">
        <f t="shared" ref="F30:I30" si="12">E30+1</f>
        <v>45938</v>
      </c>
      <c r="G30" s="21">
        <f t="shared" si="12"/>
        <v>45939</v>
      </c>
      <c r="H30" s="21">
        <f t="shared" si="12"/>
        <v>45940</v>
      </c>
      <c r="I30" s="21">
        <f t="shared" si="12"/>
        <v>45941</v>
      </c>
      <c r="J30" s="40">
        <f>I30+1</f>
        <v>45942</v>
      </c>
      <c r="K30" s="35"/>
      <c r="L30" s="17"/>
      <c r="M30" s="17"/>
      <c r="N30" s="17">
        <f t="shared" si="2"/>
        <v>0</v>
      </c>
      <c r="O30" s="36">
        <f t="shared" si="3"/>
        <v>0</v>
      </c>
      <c r="P30" s="35">
        <f t="shared" si="4"/>
        <v>0</v>
      </c>
      <c r="Q30" s="17"/>
      <c r="R30" s="36"/>
      <c r="S30" s="28" t="str">
        <f>IF(K30=M30, "✔️", IF(M30&gt;K30, "⚠️ ¡Seleccionó más fuera de los días laborales!", "Días Auscente"))</f>
        <v>✔️</v>
      </c>
      <c r="T30" s="16"/>
      <c r="U30" s="16"/>
      <c r="V30" s="16"/>
    </row>
    <row r="31" spans="1:22" x14ac:dyDescent="0.35">
      <c r="A31" s="16"/>
      <c r="B31" s="24">
        <f>IF(B17="Si",B26-B21,0)</f>
        <v>0</v>
      </c>
      <c r="C31" s="16"/>
      <c r="D31" s="35">
        <f>+DAY(D30)</f>
        <v>6</v>
      </c>
      <c r="E31" s="17">
        <f t="shared" ref="E31:J31" si="13">+DAY(E30)</f>
        <v>7</v>
      </c>
      <c r="F31" s="17">
        <f t="shared" si="13"/>
        <v>8</v>
      </c>
      <c r="G31" s="17">
        <f t="shared" si="13"/>
        <v>9</v>
      </c>
      <c r="H31" s="17">
        <f t="shared" si="13"/>
        <v>10</v>
      </c>
      <c r="I31" s="17">
        <f t="shared" si="13"/>
        <v>11</v>
      </c>
      <c r="J31" s="36">
        <f t="shared" si="13"/>
        <v>12</v>
      </c>
      <c r="K31" s="35"/>
      <c r="L31" s="17"/>
      <c r="M31" s="17"/>
      <c r="N31" s="17"/>
      <c r="O31" s="36"/>
      <c r="P31" s="35"/>
      <c r="Q31" s="17"/>
      <c r="R31" s="36"/>
      <c r="S31" s="28"/>
      <c r="T31" s="16"/>
      <c r="U31" s="16"/>
      <c r="V31" s="16"/>
    </row>
    <row r="32" spans="1:22" ht="15" thickBot="1" x14ac:dyDescent="0.4">
      <c r="A32" s="16"/>
      <c r="B32" s="17"/>
      <c r="C32" s="16"/>
      <c r="D32" s="41" t="b">
        <v>0</v>
      </c>
      <c r="E32" s="42" t="b">
        <v>0</v>
      </c>
      <c r="F32" s="42" t="b">
        <v>0</v>
      </c>
      <c r="G32" s="42" t="b">
        <v>0</v>
      </c>
      <c r="H32" s="42" t="b">
        <v>0</v>
      </c>
      <c r="I32" s="42" t="b">
        <v>0</v>
      </c>
      <c r="J32" s="43" t="b">
        <v>0</v>
      </c>
      <c r="K32" s="44">
        <f>IF(NETWORKDAYS.INTL(D30,J30,$P$39,Tabla5[Fecha])&gt;L32,L32,NETWORKDAYS.INTL(D30,J30,$P$39,Tabla5[Fecha]))</f>
        <v>0</v>
      </c>
      <c r="L32" s="45" cm="1">
        <f t="array" ref="L32">SUMPRODUCT(--(TEXT(D30:J30,"mmmm")=$F$13))</f>
        <v>0</v>
      </c>
      <c r="M32" s="45">
        <f>COUNTIF(D32:J32,"VERDADERO")</f>
        <v>0</v>
      </c>
      <c r="N32" s="45">
        <f t="shared" si="2"/>
        <v>0</v>
      </c>
      <c r="O32" s="46">
        <f t="shared" si="3"/>
        <v>0</v>
      </c>
      <c r="P32" s="44">
        <f t="shared" si="4"/>
        <v>0</v>
      </c>
      <c r="Q32" s="45"/>
      <c r="R32" s="46"/>
      <c r="S32" s="28" t="str">
        <f>IF(K32=M32, "✔️", IF(M32&gt;K32, "⚠️ ¡Seleccionó más fuera de los días laborales!", "Días Auscente"))</f>
        <v>✔️</v>
      </c>
      <c r="T32" s="16"/>
      <c r="U32" s="16"/>
      <c r="V32" s="16"/>
    </row>
    <row r="33" spans="1:22" x14ac:dyDescent="0.35">
      <c r="A33" s="16"/>
      <c r="B33" s="17"/>
      <c r="C33" s="16"/>
      <c r="D33" s="16"/>
      <c r="E33" s="16"/>
      <c r="F33" s="16"/>
      <c r="G33" s="16"/>
      <c r="H33" s="16"/>
      <c r="I33" s="16"/>
      <c r="J33" s="16"/>
      <c r="K33" s="29">
        <f>SUM(K17:K32)</f>
        <v>26</v>
      </c>
      <c r="L33" s="29">
        <f>SUM(L17:L32)</f>
        <v>30</v>
      </c>
      <c r="M33" s="29">
        <f>SUM(M17:M32)</f>
        <v>21</v>
      </c>
      <c r="N33" s="29">
        <f>SUM(N17:N32)</f>
        <v>5</v>
      </c>
      <c r="O33" s="29">
        <f>+SUM(O17:O32)</f>
        <v>173.33333333333334</v>
      </c>
      <c r="P33" s="47">
        <f t="shared" ref="P33:R33" si="14">+SUM(P17:P32)</f>
        <v>140.00000000000003</v>
      </c>
      <c r="Q33" s="29">
        <f t="shared" si="14"/>
        <v>19</v>
      </c>
      <c r="R33" s="29">
        <f t="shared" si="14"/>
        <v>5</v>
      </c>
      <c r="S33" s="16"/>
      <c r="T33" s="16"/>
      <c r="U33" s="16"/>
      <c r="V33" s="16"/>
    </row>
    <row r="34" spans="1:22" x14ac:dyDescent="0.35">
      <c r="A34" s="16"/>
      <c r="B34" s="17"/>
      <c r="C34" s="16"/>
      <c r="D34" s="16"/>
      <c r="E34" s="16"/>
      <c r="F34" s="16"/>
      <c r="G34" s="16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6"/>
      <c r="T34" s="16"/>
      <c r="U34" s="16"/>
      <c r="V34" s="16"/>
    </row>
    <row r="35" spans="1:22" x14ac:dyDescent="0.35">
      <c r="A35" s="16"/>
      <c r="B35" s="17"/>
      <c r="C35" s="16"/>
      <c r="D35" s="78" t="s">
        <v>190</v>
      </c>
      <c r="E35" s="78"/>
      <c r="F35" s="78"/>
      <c r="G35" s="78"/>
      <c r="H35" s="77" t="str">
        <f>+VLOOKUP($G$7,Empleados[],2,0)</f>
        <v xml:space="preserve">Sergio </v>
      </c>
      <c r="I35" s="77"/>
      <c r="J35" s="77"/>
      <c r="K35" s="77"/>
      <c r="L35" s="17"/>
      <c r="M35" s="78" t="s">
        <v>143</v>
      </c>
      <c r="N35" s="78"/>
      <c r="O35" s="78"/>
      <c r="P35" s="77" t="str">
        <f>+VLOOKUP($G$7,Empleados[],5,0)</f>
        <v>Contador</v>
      </c>
      <c r="Q35" s="77"/>
      <c r="R35" s="77"/>
      <c r="S35" s="16"/>
      <c r="T35" s="16"/>
      <c r="U35" s="16"/>
      <c r="V35" s="16"/>
    </row>
    <row r="36" spans="1:22" x14ac:dyDescent="0.35">
      <c r="A36" s="16"/>
      <c r="B36" s="17"/>
      <c r="C36" s="16"/>
      <c r="D36" s="78" t="s">
        <v>189</v>
      </c>
      <c r="E36" s="78"/>
      <c r="F36" s="78"/>
      <c r="G36" s="78"/>
      <c r="H36" s="77" t="str">
        <f>+VLOOKUP($G$7,Empleados[],3,0)</f>
        <v>Hueraman</v>
      </c>
      <c r="I36" s="77"/>
      <c r="J36" s="77"/>
      <c r="K36" s="77"/>
      <c r="L36" s="20"/>
      <c r="M36" s="78" t="s">
        <v>9</v>
      </c>
      <c r="N36" s="78"/>
      <c r="O36" s="78"/>
      <c r="P36" s="77" t="str">
        <f>+VLOOKUP($G$7,Empleados[],4,0)</f>
        <v>19.465.113-9</v>
      </c>
      <c r="Q36" s="77"/>
      <c r="R36" s="77"/>
      <c r="S36" s="16"/>
      <c r="T36" s="16"/>
      <c r="U36" s="16"/>
      <c r="V36" s="16"/>
    </row>
    <row r="37" spans="1:22" x14ac:dyDescent="0.35">
      <c r="A37" s="16"/>
      <c r="B37" s="17"/>
      <c r="C37" s="16"/>
      <c r="D37" s="78" t="s">
        <v>192</v>
      </c>
      <c r="E37" s="78"/>
      <c r="F37" s="78"/>
      <c r="G37" s="78"/>
      <c r="H37" s="77" t="str">
        <f>VLOOKUP(G7,Empleados[],14,0)</f>
        <v>Completa</v>
      </c>
      <c r="I37" s="77"/>
      <c r="J37" s="77"/>
      <c r="K37" s="77"/>
      <c r="L37" s="20"/>
      <c r="M37" s="78" t="s">
        <v>111</v>
      </c>
      <c r="N37" s="78"/>
      <c r="O37" s="78"/>
      <c r="P37" s="79">
        <f>+VLOOKUP($G$7,Empleados[],8,0)</f>
        <v>45748</v>
      </c>
      <c r="Q37" s="79"/>
      <c r="R37" s="79"/>
      <c r="S37" s="16"/>
      <c r="T37" s="16"/>
      <c r="U37" s="16"/>
      <c r="V37" s="16"/>
    </row>
    <row r="38" spans="1:22" x14ac:dyDescent="0.35">
      <c r="A38" s="16"/>
      <c r="B38" s="17"/>
      <c r="C38" s="16"/>
      <c r="D38" s="78" t="s">
        <v>194</v>
      </c>
      <c r="E38" s="78"/>
      <c r="F38" s="78"/>
      <c r="G38" s="78"/>
      <c r="H38" s="77">
        <f>VLOOKUP(P38,Info_Indicadores!H18:J31,3,0)</f>
        <v>6</v>
      </c>
      <c r="I38" s="77"/>
      <c r="J38" s="77"/>
      <c r="K38" s="77"/>
      <c r="L38" s="17"/>
      <c r="M38" s="78" t="s">
        <v>193</v>
      </c>
      <c r="N38" s="78"/>
      <c r="O38" s="78"/>
      <c r="P38" s="77" t="str">
        <f>VLOOKUP(G7,Empleados[],15,0)</f>
        <v>Solo Domingo</v>
      </c>
      <c r="Q38" s="77"/>
      <c r="R38" s="77"/>
      <c r="S38" s="16"/>
      <c r="T38" s="16"/>
      <c r="U38" s="16"/>
      <c r="V38" s="16"/>
    </row>
    <row r="39" spans="1:22" x14ac:dyDescent="0.35">
      <c r="A39" s="16"/>
      <c r="B39" s="17"/>
      <c r="C39" s="16"/>
      <c r="D39" s="78" t="s">
        <v>180</v>
      </c>
      <c r="E39" s="78"/>
      <c r="F39" s="78"/>
      <c r="G39" s="78"/>
      <c r="H39" s="77">
        <f>VLOOKUP(G7,Empleados[],17,0)</f>
        <v>40</v>
      </c>
      <c r="I39" s="77"/>
      <c r="J39" s="77"/>
      <c r="K39" s="77"/>
      <c r="L39" s="17"/>
      <c r="M39" s="78" t="s">
        <v>174</v>
      </c>
      <c r="N39" s="78"/>
      <c r="O39" s="78"/>
      <c r="P39" s="77">
        <f>VLOOKUP(P38,Info_Indicadores!H18:J31,2,0)</f>
        <v>11</v>
      </c>
      <c r="Q39" s="77"/>
      <c r="R39" s="77"/>
      <c r="S39" s="16"/>
      <c r="T39" s="16"/>
      <c r="U39" s="16"/>
      <c r="V39" s="16"/>
    </row>
    <row r="40" spans="1:22" x14ac:dyDescent="0.35">
      <c r="A40" s="16"/>
      <c r="B40" s="17"/>
      <c r="C40" s="16"/>
      <c r="D40" s="16"/>
      <c r="E40" s="16"/>
      <c r="F40" s="16"/>
      <c r="G40" s="16"/>
      <c r="H40" s="17"/>
      <c r="I40" s="17"/>
      <c r="J40" s="17"/>
      <c r="K40" s="17"/>
      <c r="L40" s="17"/>
      <c r="M40" s="58"/>
      <c r="N40" s="58"/>
      <c r="O40" s="58"/>
      <c r="P40" s="17"/>
      <c r="Q40" s="17"/>
      <c r="R40" s="17"/>
      <c r="S40" s="16"/>
      <c r="T40" s="16"/>
      <c r="U40" s="16"/>
      <c r="V40" s="16"/>
    </row>
    <row r="65" spans="1:22" x14ac:dyDescent="0.35">
      <c r="A65" s="60"/>
      <c r="B65" s="61"/>
      <c r="C65" s="60"/>
      <c r="D65" s="60"/>
      <c r="E65" s="60"/>
      <c r="F65" s="60"/>
      <c r="G65" s="60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0"/>
      <c r="T65" s="60"/>
      <c r="U65" s="60"/>
      <c r="V65" s="60"/>
    </row>
    <row r="66" spans="1:22" x14ac:dyDescent="0.35">
      <c r="A66" s="60"/>
      <c r="B66" s="61"/>
      <c r="C66" s="60"/>
      <c r="D66" s="60"/>
      <c r="E66" s="60"/>
      <c r="F66" s="60"/>
      <c r="G66" s="60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0"/>
      <c r="T66" s="60"/>
      <c r="U66" s="60"/>
      <c r="V66" s="60"/>
    </row>
    <row r="67" spans="1:22" x14ac:dyDescent="0.35">
      <c r="A67" s="60"/>
      <c r="B67" s="61"/>
      <c r="C67" s="60"/>
      <c r="D67" s="60"/>
      <c r="E67" s="60"/>
      <c r="F67" s="60"/>
      <c r="G67" s="60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0"/>
      <c r="T67" s="60"/>
      <c r="U67" s="60"/>
      <c r="V67" s="60"/>
    </row>
    <row r="68" spans="1:22" x14ac:dyDescent="0.35">
      <c r="A68" s="60"/>
      <c r="B68" s="61"/>
      <c r="C68" s="60"/>
      <c r="D68" s="60"/>
      <c r="E68" s="60"/>
      <c r="F68" s="60"/>
      <c r="G68" s="60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0"/>
      <c r="T68" s="60"/>
      <c r="U68" s="60"/>
      <c r="V68" s="60"/>
    </row>
  </sheetData>
  <mergeCells count="36">
    <mergeCell ref="O13:R13"/>
    <mergeCell ref="K13:N13"/>
    <mergeCell ref="D37:G37"/>
    <mergeCell ref="D38:G38"/>
    <mergeCell ref="D39:G39"/>
    <mergeCell ref="M38:O38"/>
    <mergeCell ref="M39:O39"/>
    <mergeCell ref="D12:E12"/>
    <mergeCell ref="D13:E13"/>
    <mergeCell ref="F12:H12"/>
    <mergeCell ref="F13:H13"/>
    <mergeCell ref="I12:J12"/>
    <mergeCell ref="I13:J13"/>
    <mergeCell ref="D35:G35"/>
    <mergeCell ref="D36:G36"/>
    <mergeCell ref="H35:K35"/>
    <mergeCell ref="M35:O35"/>
    <mergeCell ref="P35:R35"/>
    <mergeCell ref="P38:R38"/>
    <mergeCell ref="P39:R39"/>
    <mergeCell ref="H36:K36"/>
    <mergeCell ref="H37:K37"/>
    <mergeCell ref="H38:K38"/>
    <mergeCell ref="H39:K39"/>
    <mergeCell ref="M36:O36"/>
    <mergeCell ref="P36:R36"/>
    <mergeCell ref="M37:O37"/>
    <mergeCell ref="P37:R37"/>
    <mergeCell ref="D3:S3"/>
    <mergeCell ref="P8:V8"/>
    <mergeCell ref="P10:V10"/>
    <mergeCell ref="M8:O8"/>
    <mergeCell ref="D7:F8"/>
    <mergeCell ref="L10:O10"/>
    <mergeCell ref="G7:J8"/>
    <mergeCell ref="Q5:R5"/>
  </mergeCells>
  <phoneticPr fontId="4" type="noConversion"/>
  <conditionalFormatting sqref="D16:J16 D31:J31 D28:J28">
    <cfRule type="expression" dxfId="3" priority="103">
      <formula>MONTH(D15)&lt;&gt;MONTH($F$13&amp;$F$12)</formula>
    </cfRule>
  </conditionalFormatting>
  <conditionalFormatting sqref="D17:J17 D29:J29">
    <cfRule type="expression" dxfId="2" priority="106">
      <formula>MONTH(D15)&lt;&gt;MONTH($F$13&amp;$F$12)</formula>
    </cfRule>
  </conditionalFormatting>
  <conditionalFormatting sqref="D32:J32">
    <cfRule type="expression" dxfId="1" priority="109">
      <formula>MONTH(D30)&lt;&gt;MONTH($F$13&amp;$F$12)</formula>
    </cfRule>
  </conditionalFormatting>
  <conditionalFormatting sqref="B20:B31">
    <cfRule type="expression" dxfId="0" priority="1">
      <formula>$B$17="No"</formula>
    </cfRule>
  </conditionalFormatting>
  <dataValidations count="7">
    <dataValidation type="date" allowBlank="1" showInputMessage="1" showErrorMessage="1" sqref="I30" xr:uid="{42F21709-46FD-4B63-85D1-67D36E7979A4}">
      <formula1>#REF!</formula1>
      <formula2>K11</formula2>
    </dataValidation>
    <dataValidation type="date" allowBlank="1" showInputMessage="1" showErrorMessage="1" sqref="D30" xr:uid="{F02A59C0-048F-4A87-814D-03D8613A9881}">
      <formula1>D13</formula1>
      <formula2>I13</formula2>
    </dataValidation>
    <dataValidation type="date" allowBlank="1" showInputMessage="1" showErrorMessage="1" sqref="J30" xr:uid="{614DE20F-328D-4003-A5C0-D5EEFA539D71}">
      <formula1>U11</formula1>
      <formula2>#REF!</formula2>
    </dataValidation>
    <dataValidation type="date" allowBlank="1" showInputMessage="1" showErrorMessage="1" sqref="F30" xr:uid="{823D5C0A-A740-4200-A87D-B65B2C804D58}">
      <formula1>#REF!</formula1>
      <formula2>U11</formula2>
    </dataValidation>
    <dataValidation type="date" allowBlank="1" showInputMessage="1" showErrorMessage="1" sqref="E30" xr:uid="{FF0FF426-DE92-4E8F-B07A-DF3D0E3EAAB0}">
      <formula1>T23</formula1>
      <formula2>U10</formula2>
    </dataValidation>
    <dataValidation type="date" allowBlank="1" showInputMessage="1" showErrorMessage="1" sqref="G30" xr:uid="{67FA9594-EDE6-48EB-90B8-AD841C708A3C}">
      <formula1>#REF!</formula1>
      <formula2>B27</formula2>
    </dataValidation>
    <dataValidation type="date" allowBlank="1" showInputMessage="1" showErrorMessage="1" sqref="H30" xr:uid="{1030AEBF-611B-4682-B619-2B96AD52A8D3}">
      <formula1>I13</formula1>
      <formula2>W11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55D19D6-E8AB-4B57-98F1-D9FFF8CF3A8F}">
          <x14:formula1>
            <xm:f>Info_Indicadores!$A$5:$A$16</xm:f>
          </x14:formula1>
          <xm:sqref>F13</xm:sqref>
        </x14:dataValidation>
        <x14:dataValidation type="list" allowBlank="1" showInputMessage="1" showErrorMessage="1" xr:uid="{7FEC368D-79DF-42C2-8E9C-71CDDE2E4DDB}">
          <x14:formula1>
            <xm:f>Trabajadores!$A$4:$A$102</xm:f>
          </x14:formula1>
          <xm:sqref>G7</xm:sqref>
        </x14:dataValidation>
        <x14:dataValidation type="list" allowBlank="1" showInputMessage="1" showErrorMessage="1" xr:uid="{1DBC1227-C1E6-449C-AC9C-6B0307F016EC}">
          <x14:formula1>
            <xm:f>Info_Indicadores!$D$17:$D$18</xm:f>
          </x14:formula1>
          <xm:sqref>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5C5FD-C297-4B40-A122-F977D79AF576}">
  <sheetPr codeName="Hoja4"/>
  <dimension ref="A4:N11"/>
  <sheetViews>
    <sheetView zoomScaleNormal="100" workbookViewId="0">
      <selection activeCell="D13" sqref="D13"/>
    </sheetView>
  </sheetViews>
  <sheetFormatPr baseColWidth="10" defaultColWidth="0" defaultRowHeight="14.5" x14ac:dyDescent="0.35"/>
  <cols>
    <col min="1" max="1" width="17.6328125" style="16" customWidth="1"/>
    <col min="2" max="2" width="13.6328125" style="16" customWidth="1"/>
    <col min="3" max="3" width="16.1796875" style="16" customWidth="1"/>
    <col min="4" max="4" width="17.6328125" style="16" customWidth="1"/>
    <col min="5" max="5" width="17.453125" style="16" customWidth="1"/>
    <col min="6" max="6" width="16.453125" style="16" customWidth="1"/>
    <col min="7" max="7" width="16.08984375" style="16" customWidth="1"/>
    <col min="8" max="8" width="18.453125" style="16" customWidth="1"/>
    <col min="9" max="9" width="15.7265625" style="19" customWidth="1"/>
    <col min="10" max="10" width="18.81640625" style="19" customWidth="1"/>
    <col min="11" max="14" width="0" style="5" hidden="1" customWidth="1"/>
    <col min="15" max="16384" width="10.90625" hidden="1"/>
  </cols>
  <sheetData>
    <row r="4" spans="1:14" ht="26" x14ac:dyDescent="0.6">
      <c r="A4" s="89" t="s">
        <v>211</v>
      </c>
      <c r="B4" s="89"/>
      <c r="C4" s="89"/>
      <c r="D4" s="89"/>
      <c r="E4" s="89"/>
      <c r="F4" s="89"/>
      <c r="G4" s="89"/>
      <c r="H4" s="89"/>
      <c r="I4" s="89"/>
      <c r="J4" s="89"/>
    </row>
    <row r="8" spans="1:14" s="60" customFormat="1" x14ac:dyDescent="0.35">
      <c r="A8" s="64" t="s">
        <v>142</v>
      </c>
      <c r="B8" s="65" t="s">
        <v>78</v>
      </c>
      <c r="C8" s="65" t="s">
        <v>206</v>
      </c>
      <c r="D8" s="65" t="s">
        <v>207</v>
      </c>
      <c r="E8" s="65" t="s">
        <v>208</v>
      </c>
      <c r="F8" s="65" t="s">
        <v>209</v>
      </c>
      <c r="G8" s="65" t="s">
        <v>210</v>
      </c>
      <c r="H8" s="65" t="s">
        <v>201</v>
      </c>
      <c r="I8" s="64" t="s">
        <v>19</v>
      </c>
      <c r="J8" s="64" t="s">
        <v>0</v>
      </c>
      <c r="K8" s="66"/>
      <c r="L8" s="66"/>
      <c r="M8" s="66"/>
      <c r="N8" s="66"/>
    </row>
    <row r="9" spans="1:14" x14ac:dyDescent="0.35">
      <c r="A9" s="62"/>
      <c r="B9" s="63"/>
      <c r="C9" s="63">
        <v>23</v>
      </c>
      <c r="D9" s="63"/>
      <c r="E9" s="63"/>
      <c r="F9" s="63"/>
      <c r="G9" s="63"/>
      <c r="H9" s="63"/>
      <c r="I9" s="62"/>
      <c r="J9" s="62"/>
    </row>
    <row r="10" spans="1:14" x14ac:dyDescent="0.35">
      <c r="A10" s="62"/>
      <c r="B10" s="63"/>
      <c r="C10" s="63"/>
      <c r="D10" s="63"/>
      <c r="E10" s="63"/>
      <c r="F10" s="63"/>
      <c r="G10" s="63"/>
      <c r="H10" s="63"/>
      <c r="I10" s="62"/>
      <c r="J10" s="62"/>
    </row>
    <row r="11" spans="1:14" x14ac:dyDescent="0.35">
      <c r="A11" s="62">
        <v>45786</v>
      </c>
      <c r="B11" s="63" t="s">
        <v>79</v>
      </c>
      <c r="C11" s="63">
        <v>30</v>
      </c>
      <c r="D11" s="63">
        <v>0</v>
      </c>
      <c r="E11" s="63">
        <v>173.33333333333334</v>
      </c>
      <c r="F11" s="63">
        <v>19</v>
      </c>
      <c r="G11" s="63">
        <v>5</v>
      </c>
      <c r="H11" s="63">
        <v>7</v>
      </c>
      <c r="I11" s="62">
        <v>45778</v>
      </c>
      <c r="J11" s="62">
        <v>46173</v>
      </c>
    </row>
  </sheetData>
  <mergeCells count="1">
    <mergeCell ref="A4:J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E04AB-7C2B-4668-81A0-408C8DC7B694}">
  <sheetPr codeName="Hoja5"/>
  <dimension ref="A3:Q9"/>
  <sheetViews>
    <sheetView tabSelected="1" zoomScaleNormal="100" workbookViewId="0"/>
  </sheetViews>
  <sheetFormatPr baseColWidth="10" defaultColWidth="0" defaultRowHeight="14.5" x14ac:dyDescent="0.35"/>
  <cols>
    <col min="1" max="1" width="4.90625" bestFit="1" customWidth="1"/>
    <col min="2" max="2" width="10.7265625" bestFit="1" customWidth="1"/>
    <col min="3" max="3" width="13.36328125" bestFit="1" customWidth="1"/>
    <col min="4" max="4" width="12.54296875" bestFit="1" customWidth="1"/>
    <col min="5" max="5" width="15.08984375" bestFit="1" customWidth="1"/>
    <col min="6" max="6" width="10.81640625" bestFit="1" customWidth="1"/>
    <col min="7" max="7" width="12.08984375" customWidth="1"/>
    <col min="8" max="9" width="10.90625" customWidth="1"/>
    <col min="10" max="10" width="8.36328125" customWidth="1"/>
    <col min="11" max="11" width="7.7265625" customWidth="1"/>
    <col min="12" max="12" width="7.08984375" customWidth="1"/>
    <col min="13" max="13" width="5.6328125" customWidth="1"/>
    <col min="14" max="14" width="8.7265625" customWidth="1"/>
    <col min="15" max="15" width="13" customWidth="1"/>
    <col min="16" max="16" width="4.26953125" customWidth="1"/>
    <col min="17" max="17" width="10.90625" customWidth="1"/>
    <col min="18" max="16384" width="10.90625" hidden="1"/>
  </cols>
  <sheetData>
    <row r="3" spans="1:17" x14ac:dyDescent="0.35">
      <c r="A3" t="s">
        <v>78</v>
      </c>
      <c r="B3" t="s">
        <v>13</v>
      </c>
      <c r="C3" t="s">
        <v>12</v>
      </c>
      <c r="D3" t="s">
        <v>9</v>
      </c>
      <c r="E3" t="s">
        <v>14</v>
      </c>
      <c r="F3" t="s">
        <v>15</v>
      </c>
      <c r="G3" t="s">
        <v>16</v>
      </c>
      <c r="H3" t="s">
        <v>111</v>
      </c>
      <c r="I3" t="s">
        <v>112</v>
      </c>
      <c r="J3" t="s">
        <v>117</v>
      </c>
      <c r="K3" t="s">
        <v>123</v>
      </c>
      <c r="L3" t="s">
        <v>127</v>
      </c>
      <c r="M3" t="s">
        <v>128</v>
      </c>
      <c r="N3" t="s">
        <v>175</v>
      </c>
      <c r="O3" t="s">
        <v>172</v>
      </c>
      <c r="P3" t="s">
        <v>174</v>
      </c>
      <c r="Q3" t="s">
        <v>180</v>
      </c>
    </row>
    <row r="4" spans="1:17" x14ac:dyDescent="0.35">
      <c r="A4" t="s">
        <v>79</v>
      </c>
      <c r="B4" t="s">
        <v>17</v>
      </c>
      <c r="C4" t="s">
        <v>18</v>
      </c>
      <c r="D4" t="s">
        <v>61</v>
      </c>
      <c r="E4" t="s">
        <v>76</v>
      </c>
      <c r="F4">
        <v>956071607</v>
      </c>
      <c r="G4" s="1" t="s">
        <v>77</v>
      </c>
      <c r="H4" s="5">
        <v>45748</v>
      </c>
      <c r="I4" t="s">
        <v>113</v>
      </c>
      <c r="J4" t="s">
        <v>118</v>
      </c>
      <c r="K4" t="s">
        <v>124</v>
      </c>
      <c r="L4" s="6">
        <v>7.0000000000000007E-2</v>
      </c>
      <c r="M4">
        <v>1</v>
      </c>
      <c r="N4" t="s">
        <v>177</v>
      </c>
      <c r="O4" t="s">
        <v>165</v>
      </c>
      <c r="P4">
        <f>IFERROR(VLOOKUP(Empleados[[#This Row],[Dias de descaso]],Info_Indicadores!$H$18:$I$31,2,0),"")</f>
        <v>11</v>
      </c>
      <c r="Q4">
        <v>40</v>
      </c>
    </row>
    <row r="5" spans="1:17" x14ac:dyDescent="0.35">
      <c r="A5" t="s">
        <v>80</v>
      </c>
      <c r="B5" t="s">
        <v>85</v>
      </c>
      <c r="C5" t="s">
        <v>86</v>
      </c>
      <c r="D5" t="s">
        <v>87</v>
      </c>
      <c r="E5" t="s">
        <v>88</v>
      </c>
      <c r="F5">
        <v>985411232</v>
      </c>
      <c r="G5" s="1" t="s">
        <v>89</v>
      </c>
      <c r="H5" s="5">
        <v>45748</v>
      </c>
      <c r="I5" t="s">
        <v>113</v>
      </c>
      <c r="J5" t="s">
        <v>119</v>
      </c>
      <c r="K5" t="s">
        <v>125</v>
      </c>
      <c r="L5">
        <v>3.12</v>
      </c>
      <c r="M5">
        <v>0</v>
      </c>
      <c r="N5" t="s">
        <v>178</v>
      </c>
      <c r="O5" t="s">
        <v>179</v>
      </c>
      <c r="P5" t="str">
        <f>IFERROR(VLOOKUP(Empleados[[#This Row],[Dias de descaso]],Info_Indicadores!$H$18:$I$31,2,0),"")</f>
        <v/>
      </c>
      <c r="Q5">
        <v>30</v>
      </c>
    </row>
    <row r="6" spans="1:17" x14ac:dyDescent="0.35">
      <c r="A6" t="s">
        <v>81</v>
      </c>
      <c r="B6" t="s">
        <v>100</v>
      </c>
      <c r="C6" t="s">
        <v>98</v>
      </c>
      <c r="D6" t="s">
        <v>94</v>
      </c>
      <c r="E6" t="s">
        <v>90</v>
      </c>
      <c r="F6">
        <v>1014750857</v>
      </c>
      <c r="G6" s="1" t="s">
        <v>77</v>
      </c>
      <c r="H6" s="5">
        <v>45762</v>
      </c>
      <c r="I6" t="s">
        <v>114</v>
      </c>
      <c r="J6" t="s">
        <v>120</v>
      </c>
      <c r="K6" t="s">
        <v>125</v>
      </c>
      <c r="L6">
        <v>2.64</v>
      </c>
      <c r="M6">
        <v>4</v>
      </c>
      <c r="N6" t="s">
        <v>177</v>
      </c>
      <c r="O6" t="s">
        <v>158</v>
      </c>
      <c r="P6">
        <f>IFERROR(VLOOKUP(Empleados[[#This Row],[Dias de descaso]],Info_Indicadores!$H$18:$I$31,2,0),"")</f>
        <v>1</v>
      </c>
      <c r="Q6">
        <v>44</v>
      </c>
    </row>
    <row r="7" spans="1:17" x14ac:dyDescent="0.35">
      <c r="A7" t="s">
        <v>82</v>
      </c>
      <c r="B7" t="s">
        <v>101</v>
      </c>
      <c r="C7" t="s">
        <v>99</v>
      </c>
      <c r="D7" t="s">
        <v>95</v>
      </c>
      <c r="E7" t="s">
        <v>91</v>
      </c>
      <c r="F7">
        <v>1044090482</v>
      </c>
      <c r="G7" s="1" t="s">
        <v>89</v>
      </c>
      <c r="H7" s="5">
        <v>45774</v>
      </c>
      <c r="I7" t="s">
        <v>115</v>
      </c>
      <c r="J7" t="s">
        <v>121</v>
      </c>
      <c r="K7" t="s">
        <v>126</v>
      </c>
      <c r="L7" s="6">
        <v>7.0000000000000007E-2</v>
      </c>
      <c r="M7">
        <v>2</v>
      </c>
      <c r="N7" t="s">
        <v>177</v>
      </c>
      <c r="O7" t="s">
        <v>160</v>
      </c>
      <c r="P7">
        <f>IFERROR(VLOOKUP(Empleados[[#This Row],[Dias de descaso]],Info_Indicadores!$H$18:$I$31,2,0),"")</f>
        <v>3</v>
      </c>
      <c r="Q7">
        <v>42</v>
      </c>
    </row>
    <row r="8" spans="1:17" x14ac:dyDescent="0.35">
      <c r="A8" t="s">
        <v>83</v>
      </c>
      <c r="B8" t="s">
        <v>102</v>
      </c>
      <c r="C8" t="s">
        <v>104</v>
      </c>
      <c r="D8" t="s">
        <v>96</v>
      </c>
      <c r="E8" t="s">
        <v>92</v>
      </c>
      <c r="F8">
        <v>1073430107</v>
      </c>
      <c r="G8" s="1" t="s">
        <v>77</v>
      </c>
      <c r="H8" s="5">
        <v>45777</v>
      </c>
      <c r="I8" t="s">
        <v>116</v>
      </c>
      <c r="J8" t="s">
        <v>122</v>
      </c>
      <c r="K8" t="s">
        <v>124</v>
      </c>
      <c r="L8" s="6">
        <v>7.0000000000000007E-2</v>
      </c>
      <c r="M8">
        <v>0</v>
      </c>
      <c r="N8" t="s">
        <v>178</v>
      </c>
      <c r="O8" t="s">
        <v>179</v>
      </c>
      <c r="P8" t="str">
        <f>IFERROR(VLOOKUP(Empleados[[#This Row],[Dias de descaso]],Info_Indicadores!$H$18:$I$31,2,0),"")</f>
        <v/>
      </c>
      <c r="Q8">
        <v>30</v>
      </c>
    </row>
    <row r="9" spans="1:17" x14ac:dyDescent="0.35">
      <c r="A9" t="s">
        <v>84</v>
      </c>
      <c r="B9" t="s">
        <v>103</v>
      </c>
      <c r="C9" t="s">
        <v>105</v>
      </c>
      <c r="D9" t="s">
        <v>97</v>
      </c>
      <c r="E9" t="s">
        <v>93</v>
      </c>
      <c r="F9">
        <v>1102769732</v>
      </c>
      <c r="G9" s="1" t="s">
        <v>89</v>
      </c>
      <c r="H9" s="5">
        <v>45777</v>
      </c>
      <c r="I9" t="s">
        <v>114</v>
      </c>
      <c r="J9" t="s">
        <v>122</v>
      </c>
      <c r="K9" t="s">
        <v>125</v>
      </c>
      <c r="L9">
        <v>4.32</v>
      </c>
      <c r="M9">
        <v>2</v>
      </c>
      <c r="N9" t="s">
        <v>177</v>
      </c>
      <c r="O9" t="s">
        <v>158</v>
      </c>
      <c r="P9">
        <f>IFERROR(VLOOKUP(Empleados[[#This Row],[Dias de descaso]],Info_Indicadores!$H$18:$I$31,2,0),"")</f>
        <v>1</v>
      </c>
      <c r="Q9">
        <v>40</v>
      </c>
    </row>
  </sheetData>
  <phoneticPr fontId="4" type="noConversion"/>
  <dataValidations count="1">
    <dataValidation type="list" allowBlank="1" showInputMessage="1" showErrorMessage="1" sqref="O4:O9" xr:uid="{7D4D142E-56D1-4346-ADE2-A2A55D46512E}">
      <formula1>INDIRECT($N4)</formula1>
    </dataValidation>
  </dataValidations>
  <hyperlinks>
    <hyperlink ref="G4" r:id="rId1" xr:uid="{2FE4467E-7321-4D14-9452-E7BD46FD0752}"/>
    <hyperlink ref="G5" r:id="rId2" xr:uid="{150835D6-56DA-4300-A551-F5BFE3DF43C7}"/>
    <hyperlink ref="G6" r:id="rId3" xr:uid="{118CCE77-3C40-4321-99C0-8BA1A73A6214}"/>
    <hyperlink ref="G8" r:id="rId4" xr:uid="{A34843A7-2D47-4711-8FBF-48F2357E001A}"/>
    <hyperlink ref="G7" r:id="rId5" xr:uid="{07AAF241-5F9D-4CF9-A3E7-13182765D32F}"/>
    <hyperlink ref="G9" r:id="rId6" xr:uid="{A6037E85-130B-4140-941D-F604BFD65E20}"/>
  </hyperlinks>
  <pageMargins left="0.7" right="0.7" top="0.75" bottom="0.75" header="0.3" footer="0.3"/>
  <drawing r:id="rId7"/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0D4F63-0896-4F70-98B9-F3A74EDD6898}">
          <x14:formula1>
            <xm:f>Info_Indicadores!$K$18:$K$19</xm:f>
          </x14:formula1>
          <xm:sqref>N4:N9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3:N13"/>
  <sheetViews>
    <sheetView workbookViewId="0"/>
  </sheetViews>
  <sheetFormatPr baseColWidth="10" defaultColWidth="8.7265625" defaultRowHeight="14.5" x14ac:dyDescent="0.35"/>
  <cols>
    <col min="2" max="2" width="23" customWidth="1"/>
    <col min="14" max="14" width="10.08984375" bestFit="1" customWidth="1"/>
  </cols>
  <sheetData>
    <row r="3" spans="4:14" x14ac:dyDescent="0.35">
      <c r="M3" t="s">
        <v>197</v>
      </c>
      <c r="N3" s="5">
        <f ca="1">TODAY()</f>
        <v>45789</v>
      </c>
    </row>
    <row r="4" spans="4:14" x14ac:dyDescent="0.35">
      <c r="N4" s="5"/>
    </row>
    <row r="6" spans="4:14" x14ac:dyDescent="0.35">
      <c r="D6" t="s">
        <v>187</v>
      </c>
    </row>
    <row r="7" spans="4:14" x14ac:dyDescent="0.35">
      <c r="D7" t="s">
        <v>198</v>
      </c>
      <c r="F7">
        <v>30</v>
      </c>
      <c r="H7" t="s">
        <v>199</v>
      </c>
      <c r="I7">
        <v>500000</v>
      </c>
    </row>
    <row r="8" spans="4:14" x14ac:dyDescent="0.35">
      <c r="D8" t="s">
        <v>151</v>
      </c>
      <c r="E8" s="1"/>
      <c r="F8">
        <v>180</v>
      </c>
      <c r="H8" t="s">
        <v>110</v>
      </c>
      <c r="I8">
        <v>3</v>
      </c>
    </row>
    <row r="9" spans="4:14" x14ac:dyDescent="0.35">
      <c r="E9" s="2"/>
    </row>
    <row r="13" spans="4:14" x14ac:dyDescent="0.35">
      <c r="E13" t="s">
        <v>200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33BF-797B-4C3D-AC3B-57C6199DF1F9}">
  <sheetPr codeName="Hoja6"/>
  <dimension ref="A1:P1"/>
  <sheetViews>
    <sheetView workbookViewId="0">
      <selection activeCell="D4" sqref="D4"/>
    </sheetView>
  </sheetViews>
  <sheetFormatPr baseColWidth="10" defaultRowHeight="14.5" x14ac:dyDescent="0.35"/>
  <cols>
    <col min="1" max="3" width="21" customWidth="1"/>
    <col min="4" max="4" width="18.6328125" bestFit="1" customWidth="1"/>
    <col min="5" max="5" width="9.7265625" bestFit="1" customWidth="1"/>
    <col min="6" max="6" width="12.6328125" bestFit="1" customWidth="1"/>
    <col min="7" max="7" width="15.7265625" bestFit="1" customWidth="1"/>
    <col min="8" max="8" width="13.81640625" bestFit="1" customWidth="1"/>
    <col min="9" max="9" width="20.1796875" bestFit="1" customWidth="1"/>
    <col min="10" max="10" width="10.1796875" bestFit="1" customWidth="1"/>
    <col min="11" max="11" width="13.453125" bestFit="1" customWidth="1"/>
    <col min="12" max="12" width="6.26953125" bestFit="1" customWidth="1"/>
    <col min="13" max="13" width="6.54296875" bestFit="1" customWidth="1"/>
    <col min="14" max="14" width="8.08984375" bestFit="1" customWidth="1"/>
    <col min="15" max="15" width="19.08984375" bestFit="1" customWidth="1"/>
  </cols>
  <sheetData>
    <row r="1" spans="1:16" x14ac:dyDescent="0.35">
      <c r="A1" t="s">
        <v>78</v>
      </c>
      <c r="B1" t="s">
        <v>153</v>
      </c>
      <c r="C1" t="s">
        <v>109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139</v>
      </c>
      <c r="N1" t="s">
        <v>138</v>
      </c>
      <c r="O1" t="s">
        <v>140</v>
      </c>
      <c r="P1" t="s">
        <v>141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9A4B9-3237-4E74-809C-AAA6DC2CD286}">
  <sheetPr codeName="Hoja7"/>
  <dimension ref="A1:C2"/>
  <sheetViews>
    <sheetView workbookViewId="0">
      <selection activeCell="C22" sqref="C22"/>
    </sheetView>
  </sheetViews>
  <sheetFormatPr baseColWidth="10" defaultRowHeight="14.5" x14ac:dyDescent="0.35"/>
  <cols>
    <col min="1" max="1" width="13.36328125" bestFit="1" customWidth="1"/>
    <col min="2" max="2" width="11.54296875" bestFit="1" customWidth="1"/>
    <col min="3" max="3" width="17.81640625" bestFit="1" customWidth="1"/>
  </cols>
  <sheetData>
    <row r="1" spans="1:3" x14ac:dyDescent="0.35">
      <c r="A1" t="s">
        <v>10</v>
      </c>
      <c r="B1" t="s">
        <v>9</v>
      </c>
      <c r="C1" t="s">
        <v>11</v>
      </c>
    </row>
    <row r="2" spans="1:3" x14ac:dyDescent="0.35">
      <c r="A2" t="s">
        <v>106</v>
      </c>
      <c r="B2" t="s">
        <v>107</v>
      </c>
      <c r="C2" t="s">
        <v>108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01EAE1-3FD7-4D45-B820-631520C5E3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Info_Indicadores</vt:lpstr>
      <vt:lpstr>Calculo_dias_horas</vt:lpstr>
      <vt:lpstr>Control_asistencia</vt:lpstr>
      <vt:lpstr>Trabajadores</vt:lpstr>
      <vt:lpstr>Liquidación</vt:lpstr>
      <vt:lpstr>bd_liquidación</vt:lpstr>
      <vt:lpstr>Datos_Empresa</vt:lpstr>
      <vt:lpstr>Completa</vt:lpstr>
      <vt:lpstr>Full</vt:lpstr>
      <vt:lpstr>ornada</vt:lpstr>
      <vt:lpstr>Parcial</vt:lpstr>
      <vt:lpstr>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hueraman</dc:creator>
  <cp:lastModifiedBy>sergio hueraman</cp:lastModifiedBy>
  <dcterms:created xsi:type="dcterms:W3CDTF">2015-06-05T18:19:34Z</dcterms:created>
  <dcterms:modified xsi:type="dcterms:W3CDTF">2025-05-13T03:38:09Z</dcterms:modified>
</cp:coreProperties>
</file>